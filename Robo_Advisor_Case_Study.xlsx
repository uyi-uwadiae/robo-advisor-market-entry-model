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ase Study Answers" sheetId="2" r:id="rId5"/>
    <sheet state="visible" name="Module 1" sheetId="3" r:id="rId6"/>
    <sheet state="visible" name="Module 2" sheetId="4" r:id="rId7"/>
    <sheet state="visible" name="Assumptions" sheetId="5" r:id="rId8"/>
    <sheet state="visible" name="Chart" sheetId="6" r:id="rId9"/>
    <sheet state="hidden" name="Dropdowns"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Uyi Uwadiae:
Total Annual Income * % Contribution</t>
      </text>
    </comment>
    <comment authorId="0" ref="P27">
      <text>
        <t xml:space="preserve">Uyi Uwadiae:
Total Contribution * % IRA</t>
      </text>
    </comment>
    <comment authorId="0" ref="P38">
      <text>
        <t xml:space="preserve">Uyi Uwadiae:
IRA Contributions * Withdrawal assumptions</t>
      </text>
    </comment>
    <comment authorId="0" ref="P4">
      <text>
        <t xml:space="preserve">Uyi Uwadiae:
Average Annual Income * Labor Force # * Income Growth</t>
      </text>
    </comment>
    <comment authorId="0" ref="P50">
      <text>
        <t xml:space="preserve">Uyi Uwadiae:
IRA Contributions -- IRA Withdrawals</t>
      </text>
    </comment>
  </commentList>
</comments>
</file>

<file path=xl/sharedStrings.xml><?xml version="1.0" encoding="utf-8"?>
<sst xmlns="http://schemas.openxmlformats.org/spreadsheetml/2006/main" count="270" uniqueCount="191">
  <si>
    <t>Corporate Strategy &amp; Development Case Study</t>
  </si>
  <si>
    <r>
      <rPr>
        <rFont val="Calibri"/>
        <b/>
        <color/>
        <sz val="11.0"/>
      </rPr>
      <t xml:space="preserve">Case Study: </t>
    </r>
    <r>
      <rPr>
        <rFont val="Calibri"/>
        <color/>
        <sz val="11.0"/>
      </rPr>
      <t>Robo-Advising</t>
    </r>
  </si>
  <si>
    <r>
      <rPr>
        <rFont val="Calibri"/>
        <b/>
        <color/>
        <sz val="11.0"/>
      </rPr>
      <t xml:space="preserve">Prepared by: </t>
    </r>
    <r>
      <rPr>
        <rFont val="Calibri"/>
        <color/>
        <sz val="11.0"/>
      </rPr>
      <t>Uyi Uwadiae</t>
    </r>
  </si>
  <si>
    <r>
      <rPr>
        <rFont val="Calibri"/>
        <b/>
        <color/>
        <sz val="11.0"/>
      </rPr>
      <t xml:space="preserve">Date: </t>
    </r>
    <r>
      <rPr>
        <rFont val="Calibri"/>
        <color/>
        <sz val="11.0"/>
      </rPr>
      <t>12/09/2024</t>
    </r>
  </si>
  <si>
    <t>ILLUSTRATIVE</t>
  </si>
  <si>
    <t>Assignment Brief:</t>
  </si>
  <si>
    <t>Firm is considering expanding its individual retail retirement investor platform by launching a Robo-Advisory account product. This model evaluates the Robo-Advisory market to support providing a recommendation on whether Firm should enter this competitive landscape.</t>
  </si>
  <si>
    <t>Objective:</t>
  </si>
  <si>
    <t>To analyze the market opportunity for Robo-Advisory services from 2023 to 2033, assess the competitive landscape, and provide strategic recommendations for Firm's market entry.</t>
  </si>
  <si>
    <t>Contents:</t>
  </si>
  <si>
    <t>This Excel file consists of three key tabs that contain detailed analyses and calculations to address the prompt's questions:</t>
  </si>
  <si>
    <t>Case Study Answers</t>
  </si>
  <si>
    <t>This tab answers the questions from the case study prompt to evaluate whether Firm should expand their individual retail retirement investor platform by launching a Robo-Advisory account product.</t>
  </si>
  <si>
    <t>Module 1:</t>
  </si>
  <si>
    <t>This tab includes calculations for the annual IRA contribution and Robo-Advisor fee revenue.</t>
  </si>
  <si>
    <t>It helps to answer questions related to the total annual market opportunity for Robo-Advisors from 2023 to 2033 and the total annual market opportunity for Robo-Advisor fee revenue during the same period.</t>
  </si>
  <si>
    <t>It also covers the factors driving the increasing adoption of Robo-Advisor IRAs and the compression of future management fees.</t>
  </si>
  <si>
    <t>Module 2:</t>
  </si>
  <si>
    <t>This tab provides projected income and expenses to evaluate Firm's economics of competing in the Robo-Advisory market.</t>
  </si>
  <si>
    <t>It includes an assessment of Firm's payback period and NPV for this market entry opportunity over the specified period.</t>
  </si>
  <si>
    <t>It addresses strategic considerations and provides a recommendation on whether Firm should pursue this market entry.</t>
  </si>
  <si>
    <t>Assumptions:</t>
  </si>
  <si>
    <t>This tab contains the background information and key assumptions originally provided as part of the case study prompt.</t>
  </si>
  <si>
    <t>It serves as the basis for the calculations and analyses performed in Modules 1 and 2.</t>
  </si>
  <si>
    <t>2026 Updates and Corrections (by Claude)</t>
  </si>
  <si>
    <t>In October 2026, Claude (an AI assistant made by Anthropic) updated this model at the author's request. The December 2024 submission is otherwise unchanged and the 2023-2033 time periods are the same. Setting the two new inputs on Module 1 (C27 and C28) to 0% removes the additions and leaves only the corrections.</t>
  </si>
  <si>
    <t>Change</t>
  </si>
  <si>
    <t>Where</t>
  </si>
  <si>
    <t>What changed and why</t>
  </si>
  <si>
    <t>New input: contribution growth</t>
  </si>
  <si>
    <t>Module 1, C27 (feeds R18:AB23)</t>
  </si>
  <si>
    <t>Annual growth applied to contribution dollars from 2024 on (2023 is the base year), on top of income growth and the stepped contribution rates. Default 1.0%; dropdown 0.0%-3.0%. An assumption added in 2026, not from the case prompt.</t>
  </si>
  <si>
    <t>New input: market appreciation</t>
  </si>
  <si>
    <t>Module 1, C28 (feeds D9:N9)</t>
  </si>
  <si>
    <t>Annual return on beginning-of-year AUM; the year's net contributions are added at year end. The case's assumption 3 asks for contributions, market appreciation and outflows, and the original had no appreciation. Default 5.0%; dropdown 0%-10%. An assumption added in 2026, not from the case prompt.</t>
  </si>
  <si>
    <t>Correction: net income</t>
  </si>
  <si>
    <t>Module 2, C9:M9</t>
  </si>
  <si>
    <t>Net income summed rows 5-8, which included the market-share % row (adding $0.02M-$0.065M a year). It is now revenue + operating cost + initial capital.</t>
  </si>
  <si>
    <t>Correction: labor force growth</t>
  </si>
  <si>
    <t>Module 1, S7:AB12</t>
  </si>
  <si>
    <t>Labor force growth was applied to withdrawals but not to contribution dollars. It now also scales annual income by age group.</t>
  </si>
  <si>
    <t>Correction: labor force growth 2030-2033</t>
  </si>
  <si>
    <t>Module 1, K23:N23</t>
  </si>
  <si>
    <t>These cells pointed at the 2026-2028 rate (+1.0%) instead of the 2029-2033 rate (-0.5%). They now use Assumptions G5, which changes the labor force counts that drive withdrawals.</t>
  </si>
  <si>
    <t>Correction: chart data</t>
  </si>
  <si>
    <t>Chart, D6:N6</t>
  </si>
  <si>
    <t>Fee values were pasted numbers. They now link to Module 1 row 10 so the chart updates.</t>
  </si>
  <si>
    <t>Added: IRR and NPV timing</t>
  </si>
  <si>
    <t>Module 2, C19:C20</t>
  </si>
  <si>
    <t>IRR of the net income row, and NPV with the 2023 investment at the start. NPV() in C18 treats the 2023 flow as the end of year 1.</t>
  </si>
  <si>
    <t>Housekeeping</t>
  </si>
  <si>
    <t>Workbook</t>
  </si>
  <si>
    <t>Replaced the pasted text box on this tab with cell text (and fixed two typos in it), corrected label spelling (Cumulative, Contributions, Withdrawal), and removed a hidden helper sheet and unused Capital IQ named ranges.</t>
  </si>
  <si>
    <t>Key outputs</t>
  </si>
  <si>
    <t>Metric</t>
  </si>
  <si>
    <t>Original (Dec 2024)</t>
  </si>
  <si>
    <t>Corrections only (new inputs at 0%)</t>
  </si>
  <si>
    <t>Updated (live)</t>
  </si>
  <si>
    <t>2033 Robo-Advisor AUM ($M)</t>
  </si>
  <si>
    <t>Robo-Advisor fee market, 2023-2033 ($M)</t>
  </si>
  <si>
    <t>Firm payback year</t>
  </si>
  <si>
    <t>Firm NPV at the Module 2 discount rate ($M)</t>
  </si>
  <si>
    <t>Firm IRR</t>
  </si>
  <si>
    <t>Not in original</t>
  </si>
  <si>
    <t>Original and corrections-only figures are static values recorded at the time of the update. The Updated column is live.</t>
  </si>
  <si>
    <t>Not changed</t>
  </si>
  <si>
    <t>The written answers on the Case Study Answers tab are the original submission. The figures quoted there (about $1.6 trillion AUM, $33.3 billion fee revenue, $137 million NPV) come from the original model and no longer match the Updated outputs above. The linked cells D4, D5, D11 and D12 on that tab do update.</t>
  </si>
  <si>
    <t>Open items (recommendations not applied)</t>
  </si>
  <si>
    <t>- Cells labeled "Source" (Module 1 E36, E37, E41, E42; Module 2 S10) have no source, and the IRA share (Module 1 R27:AB27), robo market share (D8:N8) and 16-25 bracket (C26) are undocumented.</t>
  </si>
  <si>
    <t>- The 4% rule (Module 1 row 45) is applied to annual IRA contributions rather than accumulated balances.</t>
  </si>
  <si>
    <t>- Fees are charged on ending AUM (Module 1 row 10); average AUM is more standard.</t>
  </si>
  <si>
    <t>- Operating costs are fixed plus inflation, and the model has no taxes or terminal value.</t>
  </si>
  <si>
    <t>Module 1 | Questions</t>
  </si>
  <si>
    <t>Answers</t>
  </si>
  <si>
    <t>What is the total annual market opportunity for Robo-Advisor AUM during the period of 2023 – 2033?</t>
  </si>
  <si>
    <t>M</t>
  </si>
  <si>
    <t>What is the total annual market opportunity for Robo-Advisor fee revenue from 2023 – 2033, assuming the expectations of management fee reduction holds true?</t>
  </si>
  <si>
    <t>What do you think explains the increasing adoption of Robo-Advisor IRAs at the expense of self-directed IRAs?</t>
  </si>
  <si>
    <t>What does the competitive landscape of Robo-Advice look like (e.g., market structure, competitors, barriers to entry, etc.), and based on your observations, what should Firm consider as it makes its decision?</t>
  </si>
  <si>
    <t>What do you think is driving the compression of future management fees for investment managers, robo-advisors, etc.? What are some strategic considerations to think about?</t>
  </si>
  <si>
    <t>Module 2 | Questions</t>
  </si>
  <si>
    <t>Given the information provided in this document and in the excel, what is your evaluation of Firm’s economics of competing in the Robo-Advisory product service?</t>
  </si>
  <si>
    <t>What is Firm’s payback period (undiscounted point at which cumulative profits exceed cumulative investment) and NPV on this market entry opportunity over the period?</t>
  </si>
  <si>
    <t>Years</t>
  </si>
  <si>
    <t>Given what you learned about the size and opportunities associated with the Robo-Advisory market, what is your evaluation of Firm’s decision to pursue market entry into Robo-Advisory?</t>
  </si>
  <si>
    <t>What are some key considerations that Firm should account for when deciding whether to enter this market?</t>
  </si>
  <si>
    <t>What is your recommendation to Firm regarding entering the Robo-Advisory product market? Should Firm enter or should Firm not enter?</t>
  </si>
  <si>
    <t>Total IRA Contribution and Robo-Advisor Fee, by Year, $M</t>
  </si>
  <si>
    <t>Total Annual Income</t>
  </si>
  <si>
    <t>Avg Annual Income Growth</t>
  </si>
  <si>
    <t>Annual IRA Contribution Adjusted</t>
  </si>
  <si>
    <t>Age Bracket</t>
  </si>
  <si>
    <t>Robo-Advisor Market Size</t>
  </si>
  <si>
    <t>16-25</t>
  </si>
  <si>
    <t>Market Share</t>
  </si>
  <si>
    <t>26-35</t>
  </si>
  <si>
    <t>AUM</t>
  </si>
  <si>
    <t>36-45</t>
  </si>
  <si>
    <t>Robo-Advisor Fee</t>
  </si>
  <si>
    <t>46-55</t>
  </si>
  <si>
    <t>Mgmt Fee</t>
  </si>
  <si>
    <t>56-70</t>
  </si>
  <si>
    <t>70+</t>
  </si>
  <si>
    <t>Total</t>
  </si>
  <si>
    <t>Labor Force Share, by Age Group</t>
  </si>
  <si>
    <t>2023-2033</t>
  </si>
  <si>
    <t>Total Contributions</t>
  </si>
  <si>
    <t>% Contribution</t>
  </si>
  <si>
    <t>Labor Force Growth Rate</t>
  </si>
  <si>
    <t>% contributing</t>
  </si>
  <si>
    <t>16-25 Bracket %</t>
  </si>
  <si>
    <t>Contribution growth</t>
  </si>
  <si>
    <t>Added 2026: annual growth in contribution dollars from 2024 (2023 is the base year). Dropdown.</t>
  </si>
  <si>
    <t>IRA Contributions</t>
  </si>
  <si>
    <t>% IRA</t>
  </si>
  <si>
    <t>Market appreciation</t>
  </si>
  <si>
    <t>Added 2026: annual return on beginning-of-year AUM; net contributions added at year end. Dropdown.</t>
  </si>
  <si>
    <t>Robo-Advisory Management Fee Revenues</t>
  </si>
  <si>
    <t>2024 - 2028</t>
  </si>
  <si>
    <t>2029 -2033</t>
  </si>
  <si>
    <t>Average Annualized Mgmt Fee %</t>
  </si>
  <si>
    <t>Average Annualized Mgmt Fee $</t>
  </si>
  <si>
    <t>Withdrawal Assumptions</t>
  </si>
  <si>
    <t>4% Rule</t>
  </si>
  <si>
    <t>Source</t>
  </si>
  <si>
    <t>2/5 Make early withdrawls</t>
  </si>
  <si>
    <t>Assumption for 36-45</t>
  </si>
  <si>
    <t>IRA Withdrawals</t>
  </si>
  <si>
    <t>Assumption for 26-35</t>
  </si>
  <si>
    <t>Year</t>
  </si>
  <si>
    <t>Assumption for 16-25</t>
  </si>
  <si>
    <t>Paybacks</t>
  </si>
  <si>
    <t>Average Withdrawals</t>
  </si>
  <si>
    <t>Million</t>
  </si>
  <si>
    <t>IRA Contributions Adjusted</t>
  </si>
  <si>
    <t>Robo-Advisor Annual Income Statement, $M</t>
  </si>
  <si>
    <t>Assumptions</t>
  </si>
  <si>
    <t>Revenue</t>
  </si>
  <si>
    <t>Initial investment</t>
  </si>
  <si>
    <t>Operating expense</t>
  </si>
  <si>
    <t>Operating cost</t>
  </si>
  <si>
    <t>Initial market capture</t>
  </si>
  <si>
    <t>Initial capital</t>
  </si>
  <si>
    <t>Incremental market capture</t>
  </si>
  <si>
    <t>Net Income</t>
  </si>
  <si>
    <t>Inflation</t>
  </si>
  <si>
    <t>Discount Rate</t>
  </si>
  <si>
    <t>Cumulative Revenue</t>
  </si>
  <si>
    <t>Cumulative Costs</t>
  </si>
  <si>
    <t>Cumulative Net Income</t>
  </si>
  <si>
    <t>Payback Year</t>
  </si>
  <si>
    <t>Period (Years)</t>
  </si>
  <si>
    <t>NPV ($M)</t>
  </si>
  <si>
    <t>IRR</t>
  </si>
  <si>
    <t>NPV, invested at start ($M)</t>
  </si>
  <si>
    <t>NPV Table</t>
  </si>
  <si>
    <t>NPV</t>
  </si>
  <si>
    <t>Market Size</t>
  </si>
  <si>
    <t>Growth 2024 - 2025</t>
  </si>
  <si>
    <t>Growth 2026 - 2028</t>
  </si>
  <si>
    <t>Growth 2029 -2033</t>
  </si>
  <si>
    <t>US Labor Force</t>
  </si>
  <si>
    <t>% of Labor Force contributing to retirement accounts</t>
  </si>
  <si>
    <t>50% - fixed across period</t>
  </si>
  <si>
    <t>Average Annual Income, by Age Group</t>
  </si>
  <si>
    <t>Growth 2024 - 2028</t>
  </si>
  <si>
    <t>Growth 2029 - 2033</t>
  </si>
  <si>
    <t>Percentage Gross Annual Income Contributed for Retirement, by Age Group</t>
  </si>
  <si>
    <t>2024 - 2025</t>
  </si>
  <si>
    <t>2026 -2028</t>
  </si>
  <si>
    <t>Average Annualized Mgmt Fee</t>
  </si>
  <si>
    <t>Market Share and Expenses</t>
  </si>
  <si>
    <t>Market Share (Revenue)</t>
  </si>
  <si>
    <t>Expenses</t>
  </si>
  <si>
    <t>2025 - 2033</t>
  </si>
  <si>
    <t>+0.5% per year</t>
  </si>
  <si>
    <t>~2% - 3% annual expense growth rate</t>
  </si>
  <si>
    <t>Other Key Assumptions/Information</t>
  </si>
  <si>
    <t xml:space="preserve">1. There is no prescribed discount rate or cost of capital - please use your judgement on the discount rate you apply towards evaluating this opportunity, and be prepared to justify your selection. </t>
  </si>
  <si>
    <r>
      <rPr>
        <rFont val="Arial"/>
        <color rgb="FF000000"/>
        <sz val="10.0"/>
      </rPr>
      <t xml:space="preserve">2. </t>
    </r>
    <r>
      <rPr>
        <rFont val="Arial"/>
        <b/>
        <color rgb="FF000000"/>
        <sz val="10.0"/>
      </rPr>
      <t>At year-end 2022 there was an estimated total accumulated Robo-Advisor AUM of $400 billion.</t>
    </r>
    <r>
      <rPr>
        <rFont val="Arial"/>
        <color rgb="FF000000"/>
        <sz val="10.0"/>
      </rPr>
      <t xml:space="preserve">  Assume that all Robo-Advisor retirement contributions made in 2023 – 2033 are incremental annual net-contributions made to Robo-Advisors on a year-over-year basis. </t>
    </r>
  </si>
  <si>
    <r>
      <rPr>
        <rFont val="Arial"/>
        <color rgb="FF000000"/>
        <sz val="10.0"/>
      </rPr>
      <t xml:space="preserve">3. Since assets under management is driven by the combination of contributions, market appreciation, and outflows (withdrawals), you should account for all these factors when forecasting Robo Advisor AUM. </t>
    </r>
    <r>
      <rPr>
        <rFont val="Arial"/>
        <b/>
        <color rgb="FF000000"/>
        <sz val="10.0"/>
      </rPr>
      <t xml:space="preserve">Be prepared to justify your assumptions. </t>
    </r>
  </si>
  <si>
    <t xml:space="preserve">4. This prompt contains all market information available. State your assumptions where applicable. </t>
  </si>
  <si>
    <t>5. All numbers are hypothetical.</t>
  </si>
  <si>
    <t xml:space="preserve">6. Robo-advisory is a service that has become common amongst all age groups, as ease of access to the product has grown while its value statement has become clearer. </t>
  </si>
  <si>
    <t xml:space="preserve">7. The only source of revenue for Robo-Advisory is through management fees. </t>
  </si>
  <si>
    <t xml:space="preserve"> </t>
  </si>
  <si>
    <t>$ AUM</t>
  </si>
  <si>
    <t>16-25 Bracket</t>
  </si>
  <si>
    <t>Investment</t>
  </si>
  <si>
    <t>Contribution Growth</t>
  </si>
  <si>
    <t>Market Appreciation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</si>
</sst>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_);\(0\)"/>
    <numFmt numFmtId="165" formatCode="0.0%"/>
    <numFmt numFmtId="166" formatCode="_(&quot;$&quot;* #,##0_);_(&quot;$&quot;* \(#,##0\);_(&quot;$&quot;* &quot;-&quot;??_);_(@_)"/>
    <numFmt numFmtId="167" formatCode="_(* #,##0_);_(* \(#,##0\);_(* &quot;-&quot;??_);_(@_)"/>
    <numFmt numFmtId="168" formatCode="&quot;$&quot;#,##0.00_);[Red]\(&quot;$&quot;#,##0.00\)"/>
    <numFmt numFmtId="169" formatCode="&quot;$&quot;#,##0_);[Red]\(&quot;$&quot;#,##0\)"/>
    <numFmt numFmtId="170" formatCode="&quot;$&quot;#,##0"/>
  </numFmts>
  <fonts count="17">
    <font>
      <sz val="11.0"/>
      <color/>
      <name val="Arial"/>
      <scheme val="minor"/>
    </font>
    <font>
      <b/>
      <sz val="11.0"/>
      <color/>
      <name val="Calibri"/>
    </font>
    <font>
      <sz val="11.0"/>
      <color/>
      <name val="Calibri"/>
    </font>
    <font>
      <b/>
      <sz val="11.0"/>
      <color rgb="FFFF0000"/>
      <name val="Calibri"/>
    </font>
    <font>
      <b/>
      <sz val="14.0"/>
      <color/>
      <name val="Calibri"/>
    </font>
    <font/>
    <font>
      <i/>
      <sz val="11.0"/>
      <color rgb="FF7F7F7F"/>
      <name val="Calibri"/>
    </font>
    <font>
      <b/>
      <u/>
      <sz val="11.0"/>
      <color/>
      <name val="Calibri"/>
    </font>
    <font>
      <b/>
      <sz val="11.0"/>
      <color rgb="FF000000"/>
      <name val="Calibri"/>
    </font>
    <font>
      <i/>
      <sz val="11.0"/>
      <color rgb="FFBFBFBF"/>
      <name val="Calibri"/>
    </font>
    <font>
      <sz val="11.0"/>
      <color rgb="FFBFBFBF"/>
      <name val="Calibri"/>
    </font>
    <font>
      <sz val="11.0"/>
      <name val="Calibri"/>
    </font>
    <font>
      <sz val="11.0"/>
      <color rgb="FF000000"/>
      <name val="Calibri"/>
    </font>
    <font>
      <u/>
      <sz val="11.0"/>
      <color/>
      <name val="Calibri"/>
    </font>
    <font>
      <sz val="11.0"/>
      <color rgb="FFFF0000"/>
      <name val="Calibri"/>
    </font>
    <font>
      <b/>
      <sz val="10.0"/>
      <color rgb="FF000000"/>
      <name val="Arial"/>
    </font>
    <font>
      <sz val="10.0"/>
      <color rgb="FF000000"/>
      <name val="Arial"/>
    </font>
  </fonts>
  <fills count="4">
    <fill>
      <patternFill patternType="none"/>
    </fill>
    <fill>
      <patternFill patternType="lightGray"/>
    </fill>
    <fill>
      <patternFill patternType="solid">
        <fgColor rgb="FFCAD7E2"/>
        <bgColor rgb="FFCAD7E2"/>
      </patternFill>
    </fill>
    <fill>
      <patternFill patternType="solid">
        <fgColor rgb="FF008FBE"/>
        <bgColor rgb="FF008FBE"/>
      </patternFill>
    </fill>
  </fills>
  <borders count="4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right/>
      <top/>
      <bottom/>
    </border>
    <border>
      <left/>
      <right/>
      <top/>
      <bottom/>
    </border>
    <border>
      <left/>
      <right style="medium">
        <color rgb="FF000000"/>
      </right>
      <top/>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medium">
        <color rgb="FF000000"/>
      </right>
      <top style="medium">
        <color rgb="FF000000"/>
      </top>
    </border>
    <border>
      <left style="medium">
        <color rgb="FF000000"/>
      </left>
      <right/>
      <top/>
      <bottom style="medium">
        <color rgb="FF000000"/>
      </bottom>
    </border>
    <border>
      <left style="medium">
        <color rgb="FF000000"/>
      </left>
      <top style="medium">
        <color rgb="FFBFBFBF"/>
      </top>
      <bottom style="medium">
        <color rgb="FFBFBFBF"/>
      </bottom>
    </border>
    <border>
      <top style="medium">
        <color rgb="FFBFBFBF"/>
      </top>
      <bottom style="medium">
        <color rgb="FFBFBFBF"/>
      </bottom>
    </border>
    <border>
      <right style="medium">
        <color rgb="FF000000"/>
      </right>
      <top style="medium">
        <color rgb="FFBFBFBF"/>
      </top>
      <bottom style="medium">
        <color rgb="FFBFBFBF"/>
      </bottom>
    </border>
    <border>
      <top style="medium">
        <color rgb="FFBFBFBF"/>
      </top>
      <bottom style="medium">
        <color rgb="FF000000"/>
      </bottom>
    </border>
    <border>
      <right style="medium">
        <color rgb="FF000000"/>
      </right>
      <top style="medium">
        <color rgb="FFBFBFBF"/>
      </top>
      <bottom style="medium">
        <color rgb="FF000000"/>
      </bottom>
    </border>
    <border>
      <left style="medium">
        <color rgb="FF000000"/>
      </left>
      <top style="thin">
        <color rgb="FFBFBFBF"/>
      </top>
      <bottom style="thin">
        <color rgb="FFBFBFBF"/>
      </bottom>
    </border>
    <border>
      <right style="medium">
        <color rgb="FF000000"/>
      </right>
      <top style="thin">
        <color rgb="FFBFBFBF"/>
      </top>
      <bottom style="thin">
        <color rgb="FFBFBFBF"/>
      </bottom>
    </border>
    <border>
      <left style="medium">
        <color rgb="FF000000"/>
      </left>
      <top style="thin">
        <color rgb="FFBFBFBF"/>
      </top>
    </border>
    <border>
      <top style="thin">
        <color rgb="FFBFBFBF"/>
      </top>
    </border>
    <border>
      <right style="medium">
        <color rgb="FF000000"/>
      </right>
      <top style="thin">
        <color rgb="FFBFBFBF"/>
      </top>
    </border>
    <border>
      <left style="medium">
        <color rgb="FF000000"/>
      </left>
      <top style="thin">
        <color rgb="FFD8D8D8"/>
      </top>
      <bottom style="thin">
        <color rgb="FFBFBFBF"/>
      </bottom>
    </border>
    <border>
      <top style="thin">
        <color rgb="FFD8D8D8"/>
      </top>
      <bottom style="thin">
        <color rgb="FFBFBFBF"/>
      </bottom>
    </border>
    <border>
      <right style="medium">
        <color rgb="FF000000"/>
      </right>
      <top style="thin">
        <color rgb="FFD8D8D8"/>
      </top>
      <bottom style="thin">
        <color rgb="FFBFBFBF"/>
      </bottom>
    </border>
    <border>
      <left style="medium">
        <color rgb="FF000000"/>
      </left>
      <top style="thin">
        <color rgb="FFBFBFBF"/>
      </top>
      <bottom style="medium">
        <color rgb="FF000000"/>
      </bottom>
    </border>
    <border>
      <top style="thin">
        <color rgb="FFBFBFBF"/>
      </top>
      <bottom style="medium">
        <color rgb="FF000000"/>
      </bottom>
    </border>
    <border>
      <right style="medium">
        <color rgb="FF000000"/>
      </right>
      <top style="thin">
        <color rgb="FFBFBFBF"/>
      </top>
      <bottom style="medium">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shrinkToFit="0" vertical="top" wrapText="1"/>
    </xf>
    <xf borderId="0" fillId="0" fontId="3" numFmtId="0" xfId="0" applyAlignment="1" applyFont="1">
      <alignment readingOrder="0" vertical="top"/>
    </xf>
    <xf borderId="0" fillId="0" fontId="1" numFmtId="0" xfId="0" applyAlignment="1" applyFont="1">
      <alignment vertical="top"/>
    </xf>
    <xf borderId="0" fillId="0" fontId="2" numFmtId="0" xfId="0" applyAlignment="1" applyFont="1">
      <alignment readingOrder="0" shrinkToFit="0" vertical="top" wrapText="1"/>
    </xf>
    <xf borderId="1" fillId="2" fontId="4" numFmtId="0" xfId="0" applyAlignment="1" applyBorder="1" applyFill="1" applyFont="1">
      <alignment vertical="center"/>
    </xf>
    <xf borderId="2" fillId="0" fontId="5" numFmtId="0" xfId="0" applyBorder="1" applyFont="1"/>
    <xf borderId="3" fillId="0" fontId="5" numFmtId="0" xfId="0" applyBorder="1" applyFont="1"/>
    <xf borderId="4" fillId="2" fontId="1" numFmtId="0" xfId="0" applyAlignment="1" applyBorder="1" applyFill="1" applyFont="1">
      <alignment shrinkToFit="0" vertical="top" wrapText="1"/>
    </xf>
    <xf borderId="5" fillId="2" fontId="1" numFmtId="0" xfId="0" applyAlignment="1" applyBorder="1" applyFill="1" applyFont="1">
      <alignment shrinkToFit="0" vertical="top" wrapText="1"/>
    </xf>
    <xf borderId="6" fillId="0" fontId="5" numFmtId="0" xfId="0" applyBorder="1" applyFont="1"/>
    <xf borderId="7" fillId="0" fontId="5" numFmtId="0" xfId="0" applyBorder="1" applyFont="1"/>
    <xf borderId="4" fillId="0" fontId="2" numFmtId="0" xfId="0" applyAlignment="1" applyBorder="1" applyFont="1">
      <alignment shrinkToFit="0" vertical="top" wrapText="1"/>
    </xf>
    <xf borderId="5" fillId="0" fontId="2" numFmtId="0" xfId="0" applyAlignment="1" applyBorder="1" applyFont="1">
      <alignment shrinkToFit="0" vertical="top" wrapText="1"/>
    </xf>
    <xf borderId="4" fillId="0" fontId="2" numFmtId="3" xfId="0" applyAlignment="1" applyBorder="1" applyFont="1" applyNumberFormat="1">
      <alignment vertical="top"/>
    </xf>
    <xf borderId="4" fillId="0" fontId="2" numFmtId="0" xfId="0" applyAlignment="1" applyBorder="1" applyFont="1">
      <alignment readingOrder="0" shrinkToFit="0" vertical="top" wrapText="1"/>
    </xf>
    <xf borderId="4" fillId="0" fontId="2" numFmtId="0" xfId="0" applyAlignment="1" applyBorder="1" applyFont="1">
      <alignment vertical="top"/>
    </xf>
    <xf borderId="4" fillId="0" fontId="2" numFmtId="164" xfId="0" applyAlignment="1" applyBorder="1" applyFont="1" applyNumberFormat="1">
      <alignment vertical="top"/>
    </xf>
    <xf borderId="4" fillId="0" fontId="2" numFmtId="4" xfId="0" applyAlignment="1" applyBorder="1" applyFont="1" applyNumberFormat="1">
      <alignment vertical="top"/>
    </xf>
    <xf borderId="4" fillId="0" fontId="2" numFmtId="165" xfId="0" applyAlignment="1" applyBorder="1" applyFont="1" applyNumberFormat="1">
      <alignment vertical="top"/>
    </xf>
    <xf borderId="0" fillId="0" fontId="6" numFmtId="0" xfId="0" applyFont="1"/>
    <xf borderId="8" fillId="3" fontId="1" numFmtId="0" xfId="0" applyAlignment="1" applyBorder="1" applyFill="1" applyFont="1">
      <alignment shrinkToFit="0" vertical="top" wrapText="1"/>
    </xf>
    <xf borderId="9" fillId="3" fontId="1" numFmtId="0" xfId="0" applyAlignment="1" applyBorder="1" applyFill="1" applyFont="1">
      <alignment shrinkToFit="0" vertical="top" wrapText="1"/>
    </xf>
    <xf borderId="9" fillId="3" fontId="2" numFmtId="0" xfId="0" applyBorder="1" applyFill="1" applyFont="1"/>
    <xf borderId="10" fillId="3" fontId="2" numFmtId="0" xfId="0" applyBorder="1" applyFill="1" applyFont="1"/>
    <xf borderId="11" fillId="0" fontId="2" numFmtId="0" xfId="0" applyAlignment="1" applyBorder="1" applyFont="1">
      <alignment shrinkToFit="0" vertical="center" wrapText="1"/>
    </xf>
    <xf borderId="12" fillId="0" fontId="2" numFmtId="0" xfId="0" applyAlignment="1" applyBorder="1" applyFont="1">
      <alignment shrinkToFit="0" vertical="center" wrapText="1"/>
    </xf>
    <xf borderId="12" fillId="0" fontId="1" numFmtId="166" xfId="0" applyAlignment="1" applyBorder="1" applyFont="1" applyNumberFormat="1">
      <alignment vertical="center"/>
    </xf>
    <xf borderId="13" fillId="0" fontId="1" numFmtId="0" xfId="0" applyAlignment="1" applyBorder="1" applyFont="1">
      <alignment vertical="center"/>
    </xf>
    <xf borderId="12" fillId="0" fontId="2" numFmtId="166" xfId="0" applyAlignment="1" applyBorder="1" applyFont="1" applyNumberFormat="1">
      <alignment vertical="center"/>
    </xf>
    <xf borderId="13" fillId="0" fontId="2" numFmtId="0" xfId="0" applyAlignment="1" applyBorder="1" applyFont="1">
      <alignment vertical="center"/>
    </xf>
    <xf borderId="11" fillId="0" fontId="2" numFmtId="0" xfId="0" applyAlignment="1" applyBorder="1" applyFont="1">
      <alignment readingOrder="0" shrinkToFit="0" vertical="center" wrapText="1"/>
    </xf>
    <xf borderId="14" fillId="0" fontId="2" numFmtId="0" xfId="0" applyAlignment="1" applyBorder="1" applyFont="1">
      <alignment shrinkToFit="0" vertical="center" wrapText="1"/>
    </xf>
    <xf borderId="0" fillId="0" fontId="2" numFmtId="0" xfId="0" applyAlignment="1" applyFont="1">
      <alignment shrinkToFit="0" vertical="center" wrapText="1"/>
    </xf>
    <xf borderId="0" fillId="0" fontId="2" numFmtId="166" xfId="0" applyAlignment="1" applyFont="1" applyNumberFormat="1">
      <alignment vertical="center"/>
    </xf>
    <xf borderId="15" fillId="0" fontId="2" numFmtId="0" xfId="0" applyAlignment="1" applyBorder="1" applyFont="1">
      <alignment vertical="center"/>
    </xf>
    <xf borderId="16" fillId="3" fontId="1" numFmtId="0" xfId="0" applyAlignment="1" applyBorder="1" applyFill="1" applyFont="1">
      <alignment shrinkToFit="0" vertical="center" wrapText="1"/>
    </xf>
    <xf borderId="17" fillId="3" fontId="1" numFmtId="0" xfId="0" applyAlignment="1" applyBorder="1" applyFill="1" applyFont="1">
      <alignment shrinkToFit="0" vertical="center" wrapText="1"/>
    </xf>
    <xf borderId="17" fillId="3" fontId="1" numFmtId="166" xfId="0" applyAlignment="1" applyBorder="1" applyFill="1" applyFont="1" applyNumberFormat="1">
      <alignment vertical="center"/>
    </xf>
    <xf borderId="18" fillId="3" fontId="1" numFmtId="0" xfId="0" applyAlignment="1" applyBorder="1" applyFill="1" applyFont="1">
      <alignment vertical="center"/>
    </xf>
    <xf borderId="19" fillId="0" fontId="2" numFmtId="0" xfId="0" applyAlignment="1" applyBorder="1" applyFont="1">
      <alignment horizontal="left" readingOrder="0" shrinkToFit="0" vertical="center" wrapText="1"/>
    </xf>
    <xf borderId="20" fillId="0" fontId="2" numFmtId="0" xfId="0" applyAlignment="1" applyBorder="1" applyFont="1">
      <alignment shrinkToFit="0" vertical="center" wrapText="1"/>
    </xf>
    <xf borderId="20" fillId="0" fontId="1" numFmtId="166" xfId="0" applyAlignment="1" applyBorder="1" applyFont="1" applyNumberFormat="1">
      <alignment vertical="center"/>
    </xf>
    <xf borderId="21" fillId="0" fontId="1" numFmtId="0" xfId="0" applyAlignment="1" applyBorder="1" applyFont="1">
      <alignment vertical="center"/>
    </xf>
    <xf borderId="11" fillId="0" fontId="5" numFmtId="0" xfId="0" applyBorder="1" applyFont="1"/>
    <xf borderId="22" fillId="0" fontId="2" numFmtId="0" xfId="0" applyAlignment="1" applyBorder="1" applyFont="1">
      <alignment readingOrder="0" shrinkToFit="0" vertical="center" wrapText="1"/>
    </xf>
    <xf borderId="23" fillId="0" fontId="2" numFmtId="0" xfId="0" applyAlignment="1" applyBorder="1" applyFont="1">
      <alignment shrinkToFit="0" vertical="center" wrapText="1"/>
    </xf>
    <xf borderId="23" fillId="0" fontId="2" numFmtId="166" xfId="0" applyAlignment="1" applyBorder="1" applyFont="1" applyNumberFormat="1">
      <alignment vertical="center"/>
    </xf>
    <xf borderId="24" fillId="0" fontId="2" numFmtId="0" xfId="0" applyAlignment="1" applyBorder="1" applyFont="1">
      <alignment vertical="center"/>
    </xf>
    <xf borderId="25" fillId="0" fontId="1" numFmtId="0" xfId="0" applyAlignment="1" applyBorder="1" applyFont="1">
      <alignment horizontal="center" vertical="center"/>
    </xf>
    <xf borderId="26" fillId="0" fontId="5" numFmtId="0" xfId="0" applyBorder="1" applyFont="1"/>
    <xf borderId="27" fillId="0" fontId="5" numFmtId="0" xfId="0" applyBorder="1" applyFont="1"/>
    <xf borderId="0" fillId="0" fontId="7" numFmtId="0" xfId="0" applyFont="1"/>
    <xf borderId="16" fillId="2" fontId="8" numFmtId="0" xfId="0" applyAlignment="1" applyBorder="1" applyFill="1" applyFont="1">
      <alignment horizontal="right" vertical="center"/>
    </xf>
    <xf borderId="17" fillId="2" fontId="8" numFmtId="0" xfId="0" applyAlignment="1" applyBorder="1" applyFill="1" applyFont="1">
      <alignment horizontal="right" vertical="center"/>
    </xf>
    <xf borderId="18" fillId="2" fontId="8" numFmtId="0" xfId="0" applyAlignment="1" applyBorder="1" applyFill="1" applyFont="1">
      <alignment horizontal="right" vertical="center"/>
    </xf>
    <xf borderId="0" fillId="0" fontId="9" numFmtId="0" xfId="0" applyFont="1"/>
    <xf borderId="0" fillId="0" fontId="10" numFmtId="0" xfId="0" applyFont="1"/>
    <xf borderId="14" fillId="0" fontId="1" numFmtId="0" xfId="0" applyBorder="1" applyFont="1"/>
    <xf borderId="0" fillId="0" fontId="2" numFmtId="166" xfId="0" applyFont="1" applyNumberFormat="1"/>
    <xf borderId="15" fillId="0" fontId="2" numFmtId="166" xfId="0" applyBorder="1" applyFont="1" applyNumberFormat="1"/>
    <xf borderId="17" fillId="2" fontId="1" numFmtId="0" xfId="0" applyBorder="1" applyFill="1" applyFont="1"/>
    <xf borderId="14" fillId="0" fontId="2" numFmtId="0" xfId="0" applyBorder="1" applyFont="1"/>
    <xf borderId="14" fillId="0" fontId="9" numFmtId="0" xfId="0" applyAlignment="1" applyBorder="1" applyFont="1">
      <alignment horizontal="left"/>
    </xf>
    <xf borderId="0" fillId="0" fontId="9" numFmtId="10" xfId="0" applyFont="1" applyNumberFormat="1"/>
    <xf borderId="15" fillId="0" fontId="9" numFmtId="10" xfId="0" applyBorder="1" applyFont="1" applyNumberFormat="1"/>
    <xf borderId="14" fillId="0" fontId="11" numFmtId="0" xfId="0" applyAlignment="1" applyBorder="1" applyFont="1">
      <alignment horizontal="left"/>
    </xf>
    <xf borderId="0" fillId="0" fontId="11" numFmtId="166" xfId="0" applyFont="1" applyNumberFormat="1"/>
    <xf borderId="15" fillId="0" fontId="11" numFmtId="166" xfId="0" applyBorder="1" applyFont="1" applyNumberFormat="1"/>
    <xf borderId="22" fillId="0" fontId="2" numFmtId="0" xfId="0" applyBorder="1" applyFont="1"/>
    <xf borderId="23" fillId="0" fontId="2" numFmtId="0" xfId="0" applyBorder="1" applyFont="1"/>
    <xf borderId="24" fillId="0" fontId="2" numFmtId="0" xfId="0" applyBorder="1" applyFont="1"/>
    <xf borderId="20" fillId="0" fontId="1" numFmtId="0" xfId="0" applyBorder="1" applyFont="1"/>
    <xf borderId="20" fillId="0" fontId="2" numFmtId="166" xfId="0" applyBorder="1" applyFont="1" applyNumberFormat="1"/>
    <xf borderId="1" fillId="0" fontId="1" numFmtId="0" xfId="0" applyAlignment="1" applyBorder="1" applyFont="1">
      <alignment horizontal="center" vertical="center"/>
    </xf>
    <xf borderId="17" fillId="2" fontId="8" numFmtId="0" xfId="0" applyAlignment="1" applyBorder="1" applyFill="1" applyFont="1">
      <alignment horizontal="left" vertical="center"/>
    </xf>
    <xf borderId="17" fillId="2" fontId="8" numFmtId="0" xfId="0" applyAlignment="1" applyBorder="1" applyFill="1" applyFont="1">
      <alignment horizontal="center" vertical="center"/>
    </xf>
    <xf borderId="0" fillId="0" fontId="12" numFmtId="0" xfId="0" applyAlignment="1" applyFont="1">
      <alignment horizontal="left" vertical="center"/>
    </xf>
    <xf borderId="0" fillId="0" fontId="2" numFmtId="165" xfId="0" applyAlignment="1" applyFont="1" applyNumberFormat="1">
      <alignment horizontal="center" vertical="center"/>
    </xf>
    <xf borderId="0" fillId="0" fontId="12" numFmtId="167" xfId="0" applyAlignment="1" applyFont="1" applyNumberFormat="1">
      <alignment horizontal="center" vertical="center"/>
    </xf>
    <xf borderId="0" fillId="0" fontId="2" numFmtId="167" xfId="0" applyFont="1" applyNumberFormat="1"/>
    <xf borderId="0" fillId="0" fontId="9" numFmtId="0" xfId="0" applyAlignment="1" applyFont="1">
      <alignment horizontal="left" vertical="center"/>
    </xf>
    <xf borderId="0" fillId="0" fontId="10" numFmtId="165" xfId="0" applyFont="1" applyNumberFormat="1"/>
    <xf borderId="0" fillId="0" fontId="2" numFmtId="9" xfId="0" applyFont="1" applyNumberFormat="1"/>
    <xf borderId="20" fillId="0" fontId="9" numFmtId="9" xfId="0" applyBorder="1" applyFont="1" applyNumberFormat="1"/>
    <xf borderId="0" fillId="0" fontId="2" numFmtId="165" xfId="0" applyFont="1" applyNumberFormat="1"/>
    <xf borderId="0" fillId="0" fontId="10" numFmtId="9" xfId="0" applyFont="1" applyNumberFormat="1"/>
    <xf borderId="16" fillId="2" fontId="8" numFmtId="0" xfId="0" applyAlignment="1" applyBorder="1" applyFill="1" applyFont="1">
      <alignment horizontal="left" vertical="center"/>
    </xf>
    <xf borderId="17" fillId="2" fontId="2" numFmtId="0" xfId="0" applyBorder="1" applyFill="1" applyFont="1"/>
    <xf borderId="18" fillId="2" fontId="8" numFmtId="0" xfId="0" applyAlignment="1" applyBorder="1" applyFill="1" applyFont="1">
      <alignment horizontal="center" vertical="center"/>
    </xf>
    <xf borderId="14" fillId="0" fontId="12" numFmtId="0" xfId="0" applyAlignment="1" applyBorder="1" applyFont="1">
      <alignment horizontal="left" vertical="center"/>
    </xf>
    <xf borderId="0" fillId="0" fontId="12" numFmtId="10" xfId="0" applyAlignment="1" applyFont="1" applyNumberFormat="1">
      <alignment horizontal="right" vertical="center"/>
    </xf>
    <xf borderId="15" fillId="0" fontId="12" numFmtId="10" xfId="0" applyAlignment="1" applyBorder="1" applyFont="1" applyNumberFormat="1">
      <alignment horizontal="right" vertical="center"/>
    </xf>
    <xf borderId="22" fillId="0" fontId="12" numFmtId="0" xfId="0" applyAlignment="1" applyBorder="1" applyFont="1">
      <alignment horizontal="left" vertical="center"/>
    </xf>
    <xf borderId="23" fillId="0" fontId="2" numFmtId="166" xfId="0" applyAlignment="1" applyBorder="1" applyFont="1" applyNumberFormat="1">
      <alignment horizontal="center" vertical="center"/>
    </xf>
    <xf borderId="24" fillId="0" fontId="2" numFmtId="166" xfId="0" applyAlignment="1" applyBorder="1" applyFont="1" applyNumberFormat="1">
      <alignment horizontal="center" vertical="center"/>
    </xf>
    <xf borderId="0" fillId="0" fontId="13" numFmtId="0" xfId="0" applyFont="1"/>
    <xf borderId="0" fillId="0" fontId="2" numFmtId="3" xfId="0" applyFont="1" applyNumberFormat="1"/>
    <xf borderId="16" fillId="2" fontId="2" numFmtId="0" xfId="0" applyBorder="1" applyFill="1" applyFont="1"/>
    <xf borderId="18" fillId="2" fontId="1" numFmtId="0" xfId="0" applyBorder="1" applyFill="1" applyFont="1"/>
    <xf borderId="0" fillId="0" fontId="2" numFmtId="168" xfId="0" applyFont="1" applyNumberFormat="1"/>
    <xf borderId="15" fillId="0" fontId="2" numFmtId="168" xfId="0" applyBorder="1" applyFont="1" applyNumberFormat="1"/>
    <xf borderId="0" fillId="0" fontId="2" numFmtId="169" xfId="0" applyFont="1" applyNumberFormat="1"/>
    <xf borderId="0" fillId="0" fontId="9" numFmtId="9" xfId="0" applyFont="1" applyNumberFormat="1"/>
    <xf borderId="0" fillId="0" fontId="9" numFmtId="165" xfId="0" applyFont="1" applyNumberFormat="1"/>
    <xf borderId="15" fillId="0" fontId="9" numFmtId="165" xfId="0" applyBorder="1" applyFont="1" applyNumberFormat="1"/>
    <xf borderId="15" fillId="0" fontId="2" numFmtId="0" xfId="0" applyBorder="1" applyFont="1"/>
    <xf borderId="19" fillId="0" fontId="1" numFmtId="0" xfId="0" applyBorder="1" applyFont="1"/>
    <xf borderId="20" fillId="0" fontId="2" numFmtId="169" xfId="0" applyBorder="1" applyFont="1" applyNumberFormat="1"/>
    <xf borderId="21" fillId="0" fontId="2" numFmtId="169" xfId="0" applyBorder="1" applyFont="1" applyNumberFormat="1"/>
    <xf borderId="15" fillId="0" fontId="2" numFmtId="169" xfId="0" applyBorder="1" applyFont="1" applyNumberFormat="1"/>
    <xf borderId="8" fillId="2" fontId="1" numFmtId="0" xfId="0" applyBorder="1" applyFill="1" applyFont="1"/>
    <xf borderId="28" fillId="0" fontId="2" numFmtId="164" xfId="0" applyBorder="1" applyFont="1" applyNumberFormat="1"/>
    <xf borderId="16" fillId="2" fontId="1" numFmtId="0" xfId="0" applyBorder="1" applyFill="1" applyFont="1"/>
    <xf borderId="15" fillId="0" fontId="2" numFmtId="164" xfId="0" applyAlignment="1" applyBorder="1" applyFont="1" applyNumberFormat="1">
      <alignment horizontal="right"/>
    </xf>
    <xf borderId="29" fillId="2" fontId="1" numFmtId="0" xfId="0" applyBorder="1" applyFill="1" applyFont="1"/>
    <xf borderId="24" fillId="0" fontId="2" numFmtId="168" xfId="0" applyBorder="1" applyFont="1" applyNumberFormat="1"/>
    <xf borderId="17" fillId="2" fontId="1" numFmtId="10" xfId="0" applyBorder="1" applyFill="1" applyFont="1" applyNumberFormat="1"/>
    <xf borderId="18" fillId="2" fontId="1" numFmtId="10" xfId="0" applyBorder="1" applyFill="1" applyFont="1" applyNumberFormat="1"/>
    <xf borderId="0" fillId="0" fontId="2" numFmtId="10" xfId="0" applyFont="1" applyNumberFormat="1"/>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25" fillId="0" fontId="1" numFmtId="0" xfId="0" applyAlignment="1" applyBorder="1" applyFont="1">
      <alignment horizontal="center" shrinkToFit="0" vertical="center" wrapText="1"/>
    </xf>
    <xf borderId="16" fillId="2" fontId="2" numFmtId="0" xfId="0" applyAlignment="1" applyBorder="1" applyFill="1" applyFont="1">
      <alignment horizontal="left" shrinkToFit="0" vertical="center" wrapText="1"/>
    </xf>
    <xf borderId="17" fillId="2" fontId="8" numFmtId="0" xfId="0" applyAlignment="1" applyBorder="1" applyFill="1" applyFont="1">
      <alignment horizontal="center" shrinkToFit="0" vertical="center" wrapText="1"/>
    </xf>
    <xf borderId="18" fillId="2" fontId="8" numFmtId="0" xfId="0" applyAlignment="1" applyBorder="1" applyFill="1" applyFont="1">
      <alignment horizontal="center" shrinkToFit="0" vertical="center" wrapText="1"/>
    </xf>
    <xf borderId="30" fillId="0" fontId="12" numFmtId="0" xfId="0" applyAlignment="1" applyBorder="1" applyFont="1">
      <alignment horizontal="left" shrinkToFit="0" vertical="center" wrapText="1"/>
    </xf>
    <xf borderId="31" fillId="0" fontId="12" numFmtId="3" xfId="0" applyAlignment="1" applyBorder="1" applyFont="1" applyNumberFormat="1">
      <alignment horizontal="center" shrinkToFit="0" vertical="center" wrapText="1"/>
    </xf>
    <xf borderId="31" fillId="0" fontId="12" numFmtId="10" xfId="0" applyAlignment="1" applyBorder="1" applyFont="1" applyNumberFormat="1">
      <alignment horizontal="center" shrinkToFit="0" vertical="center" wrapText="1"/>
    </xf>
    <xf borderId="32" fillId="0" fontId="12" numFmtId="10" xfId="0" applyAlignment="1" applyBorder="1" applyFont="1" applyNumberFormat="1">
      <alignment horizontal="center" shrinkToFit="0" vertical="center" wrapText="1"/>
    </xf>
    <xf borderId="22" fillId="0" fontId="12" numFmtId="0" xfId="0" applyAlignment="1" applyBorder="1" applyFont="1">
      <alignment horizontal="left" shrinkToFit="0" vertical="center" wrapText="1"/>
    </xf>
    <xf borderId="33" fillId="0" fontId="12" numFmtId="165" xfId="0" applyAlignment="1" applyBorder="1" applyFont="1" applyNumberFormat="1">
      <alignment horizontal="center" shrinkToFit="0" vertical="center" wrapText="1"/>
    </xf>
    <xf borderId="33" fillId="0" fontId="5" numFmtId="0" xfId="0" applyBorder="1" applyFont="1"/>
    <xf borderId="34" fillId="0" fontId="5" numFmtId="0" xfId="0" applyBorder="1" applyFont="1"/>
    <xf borderId="16" fillId="2" fontId="8" numFmtId="0" xfId="0" applyAlignment="1" applyBorder="1" applyFill="1" applyFont="1">
      <alignment horizontal="left" shrinkToFit="0" vertical="center" wrapText="1"/>
    </xf>
    <xf borderId="14" fillId="0" fontId="12" numFmtId="0" xfId="0" applyAlignment="1" applyBorder="1" applyFont="1">
      <alignment horizontal="left" shrinkToFit="0" vertical="center" wrapText="1"/>
    </xf>
    <xf borderId="15" fillId="0" fontId="2" numFmtId="165" xfId="0" applyAlignment="1" applyBorder="1" applyFont="1" applyNumberFormat="1">
      <alignment horizontal="center" shrinkToFit="0" vertical="center" wrapText="1"/>
    </xf>
    <xf borderId="32" fillId="0" fontId="2" numFmtId="165" xfId="0" applyAlignment="1" applyBorder="1" applyFont="1" applyNumberFormat="1">
      <alignment horizontal="center" shrinkToFit="0" vertical="center" wrapText="1"/>
    </xf>
    <xf borderId="24" fillId="0" fontId="2" numFmtId="165" xfId="0" applyAlignment="1" applyBorder="1" applyFont="1" applyNumberFormat="1">
      <alignment horizontal="center" shrinkToFit="0" vertical="center" wrapText="1"/>
    </xf>
    <xf borderId="0" fillId="0" fontId="1" numFmtId="0" xfId="0" applyAlignment="1" applyFont="1">
      <alignment shrinkToFit="0" vertical="center" wrapText="1"/>
    </xf>
    <xf borderId="0" fillId="0" fontId="2" numFmtId="169" xfId="0" applyAlignment="1" applyFont="1" applyNumberFormat="1">
      <alignment horizontal="center" shrinkToFit="0" vertical="center" wrapText="1"/>
    </xf>
    <xf borderId="0" fillId="0" fontId="12" numFmtId="165" xfId="0" applyAlignment="1" applyFont="1" applyNumberFormat="1">
      <alignment horizontal="center" shrinkToFit="0" vertical="center" wrapText="1"/>
    </xf>
    <xf borderId="15" fillId="0" fontId="12" numFmtId="10" xfId="0" applyAlignment="1" applyBorder="1" applyFont="1" applyNumberFormat="1">
      <alignment horizontal="center" shrinkToFit="0" vertical="center" wrapText="1"/>
    </xf>
    <xf borderId="31" fillId="0" fontId="2" numFmtId="169" xfId="0" applyAlignment="1" applyBorder="1" applyFont="1" applyNumberFormat="1">
      <alignment horizontal="center" shrinkToFit="0" vertical="center" wrapText="1"/>
    </xf>
    <xf borderId="31" fillId="0" fontId="12" numFmtId="165" xfId="0" applyAlignment="1" applyBorder="1" applyFont="1" applyNumberFormat="1">
      <alignment horizontal="center" shrinkToFit="0" vertical="center" wrapText="1"/>
    </xf>
    <xf borderId="23" fillId="0" fontId="2" numFmtId="169" xfId="0" applyAlignment="1" applyBorder="1" applyFont="1" applyNumberFormat="1">
      <alignment horizontal="center" shrinkToFit="0" vertical="center" wrapText="1"/>
    </xf>
    <xf borderId="23" fillId="0" fontId="12" numFmtId="165" xfId="0" applyAlignment="1" applyBorder="1" applyFont="1" applyNumberFormat="1">
      <alignment horizontal="center" shrinkToFit="0" vertical="center" wrapText="1"/>
    </xf>
    <xf borderId="24" fillId="0" fontId="12" numFmtId="10" xfId="0" applyAlignment="1" applyBorder="1" applyFont="1" applyNumberFormat="1">
      <alignment horizontal="center" shrinkToFit="0" vertical="center" wrapText="1"/>
    </xf>
    <xf borderId="0" fillId="0" fontId="2" numFmtId="165" xfId="0" applyAlignment="1" applyFont="1" applyNumberFormat="1">
      <alignment horizontal="center" shrinkToFit="0" vertical="center" wrapText="1"/>
    </xf>
    <xf borderId="31" fillId="0" fontId="2" numFmtId="165" xfId="0" applyAlignment="1" applyBorder="1" applyFont="1" applyNumberFormat="1">
      <alignment horizontal="center" shrinkToFit="0" vertical="center" wrapText="1"/>
    </xf>
    <xf borderId="23" fillId="0" fontId="2" numFmtId="165" xfId="0" applyAlignment="1" applyBorder="1" applyFont="1" applyNumberFormat="1">
      <alignment horizontal="center" shrinkToFit="0" vertical="center" wrapText="1"/>
    </xf>
    <xf borderId="23" fillId="0" fontId="2" numFmtId="10" xfId="0" applyAlignment="1" applyBorder="1" applyFont="1" applyNumberFormat="1">
      <alignment horizontal="center" shrinkToFit="0" vertical="center" wrapText="1"/>
    </xf>
    <xf borderId="24" fillId="0" fontId="2" numFmtId="10"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0" fontId="8" numFmtId="0" xfId="0" applyAlignment="1" applyFont="1">
      <alignment horizontal="center" shrinkToFit="0" vertical="center" wrapText="1"/>
    </xf>
    <xf borderId="15" fillId="0" fontId="2" numFmtId="169" xfId="0" applyAlignment="1" applyBorder="1" applyFont="1" applyNumberFormat="1">
      <alignment horizontal="center" shrinkToFit="0" vertical="center" wrapText="1"/>
    </xf>
    <xf borderId="32" fillId="0" fontId="2" numFmtId="169" xfId="0" applyAlignment="1" applyBorder="1" applyFont="1" applyNumberFormat="1">
      <alignment horizontal="center" shrinkToFit="0" vertical="center" wrapText="1"/>
    </xf>
    <xf borderId="23" fillId="0" fontId="2" numFmtId="9" xfId="0" applyAlignment="1" applyBorder="1" applyFont="1" applyNumberFormat="1">
      <alignment horizontal="center" shrinkToFit="0" vertical="center" wrapText="1"/>
    </xf>
    <xf borderId="24" fillId="0" fontId="14" numFmtId="9" xfId="0" applyAlignment="1" applyBorder="1" applyFont="1" applyNumberFormat="1">
      <alignment horizontal="center" shrinkToFit="0" vertical="center" wrapText="1"/>
    </xf>
    <xf borderId="0" fillId="0" fontId="14" numFmtId="9" xfId="0" applyAlignment="1" applyFont="1" applyNumberFormat="1">
      <alignment horizontal="center" shrinkToFit="0" vertical="center" wrapText="1"/>
    </xf>
    <xf borderId="14" fillId="0" fontId="15" numFmtId="0" xfId="0" applyAlignment="1" applyBorder="1" applyFont="1">
      <alignment horizontal="left" shrinkToFit="0" vertical="center" wrapText="1"/>
    </xf>
    <xf borderId="15" fillId="0" fontId="5" numFmtId="0" xfId="0" applyBorder="1" applyFont="1"/>
    <xf borderId="35" fillId="0" fontId="16" numFmtId="0" xfId="0" applyAlignment="1" applyBorder="1" applyFont="1">
      <alignment horizontal="left" shrinkToFit="0" vertical="center" wrapText="1"/>
    </xf>
    <xf borderId="36" fillId="0" fontId="5" numFmtId="0" xfId="0" applyBorder="1" applyFont="1"/>
    <xf borderId="37" fillId="0" fontId="16" numFmtId="0" xfId="0" applyAlignment="1" applyBorder="1" applyFont="1">
      <alignment horizontal="left" shrinkToFit="0" vertical="center" wrapText="1"/>
    </xf>
    <xf borderId="38" fillId="0" fontId="5" numFmtId="0" xfId="0" applyBorder="1" applyFont="1"/>
    <xf borderId="39" fillId="0" fontId="5" numFmtId="0" xfId="0" applyBorder="1" applyFont="1"/>
    <xf borderId="40" fillId="0" fontId="16" numFmtId="0" xfId="0" applyAlignment="1" applyBorder="1" applyFont="1">
      <alignment horizontal="left" shrinkToFit="0" vertical="center" wrapText="1"/>
    </xf>
    <xf borderId="41" fillId="0" fontId="5" numFmtId="0" xfId="0" applyBorder="1" applyFont="1"/>
    <xf borderId="42" fillId="0" fontId="5" numFmtId="0" xfId="0" applyBorder="1" applyFont="1"/>
    <xf borderId="14" fillId="0" fontId="16" numFmtId="0" xfId="0" applyAlignment="1" applyBorder="1" applyFont="1">
      <alignment horizontal="left" shrinkToFit="0" vertical="center" wrapText="1"/>
    </xf>
    <xf borderId="43" fillId="0" fontId="16" numFmtId="0" xfId="0" applyAlignment="1" applyBorder="1" applyFont="1">
      <alignment horizontal="left" shrinkToFit="0" vertical="center" wrapText="1"/>
    </xf>
    <xf borderId="44" fillId="0" fontId="5" numFmtId="0" xfId="0" applyBorder="1" applyFont="1"/>
    <xf borderId="45" fillId="0" fontId="5" numFmtId="0" xfId="0" applyBorder="1" applyFont="1"/>
    <xf borderId="0" fillId="0" fontId="1" numFmtId="0" xfId="0" applyFont="1"/>
    <xf borderId="0" fillId="0" fontId="2" numFmtId="17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Robo-Advisor Total $ AUM and Market by Year, $M</a:t>
            </a:r>
          </a:p>
        </c:rich>
      </c:tx>
      <c:overlay val="0"/>
    </c:title>
    <c:plotArea>
      <c:layout/>
      <c:barChart>
        <c:barDir val="col"/>
        <c:grouping val="stacked"/>
        <c:ser>
          <c:idx val="0"/>
          <c:order val="0"/>
          <c:tx>
            <c:v>$ AUM</c:v>
          </c:tx>
          <c:spPr>
            <a:solidFill>
              <a:srgbClr val="4285F4"/>
            </a:solidFill>
            <a:ln cmpd="sng">
              <a:noFill/>
            </a:ln>
          </c:spPr>
          <c:invertIfNegative val="0"/>
          <c:cat>
            <c:strRef>
              <c:f>Chart!$C$3:$N$3</c:f>
            </c:strRef>
          </c:cat>
          <c:val>
            <c:numRef>
              <c:f>Chart!$C$4:$N$4</c:f>
              <c:numCache/>
            </c:numRef>
          </c:val>
        </c:ser>
        <c:ser>
          <c:idx val="1"/>
          <c:order val="1"/>
          <c:tx>
            <c:v>Robo-Advisor Market Size</c:v>
          </c:tx>
          <c:spPr>
            <a:solidFill>
              <a:srgbClr val="EA4335"/>
            </a:solidFill>
            <a:ln cmpd="sng">
              <a:noFill/>
            </a:ln>
          </c:spPr>
          <c:invertIfNegative val="0"/>
          <c:cat>
            <c:strRef>
              <c:f>Chart!$C$3:$N$3</c:f>
            </c:strRef>
          </c:cat>
          <c:val>
            <c:numRef>
              <c:f>Chart!$C$5:$N$5</c:f>
              <c:numCache/>
            </c:numRef>
          </c:val>
        </c:ser>
        <c:overlap val="100"/>
        <c:axId val="2057740661"/>
        <c:axId val="1929269127"/>
      </c:barChart>
      <c:catAx>
        <c:axId val="2057740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929269127"/>
      </c:catAx>
      <c:valAx>
        <c:axId val="192926912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2057740661"/>
      </c:valAx>
    </c:plotArea>
    <c:legend>
      <c:legendPos val="b"/>
      <c:overlay val="0"/>
      <c:txPr>
        <a:bodyPr/>
        <a:lstStyle/>
        <a:p>
          <a:pPr lvl="0">
            <a:defRPr b="0" i="0" sz="90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5</xdr:row>
      <xdr:rowOff>38100</xdr:rowOff>
    </xdr:from>
    <xdr:ext cx="8439150" cy="1828800"/>
    <xdr:sp macro="" textlink="">
      <xdr:nvSpPr>
        <xdr:cNvPr id="2" name="TextBox 1">
          <a:extLst>
            <a:ext uri="{FF2B5EF4-FFF2-40B4-BE49-F238E27FC236}"/>
          </a:extLst>
        </xdr:cNvPr>
        <xdr:cNvSpPr txBox="1"/>
      </xdr:nvSpPr>
      <xdr:spPr>
        <a:xfrm>
          <a:off x="7346949" y="1387475"/>
          <a:ext cx="8432801" cy="1835150"/>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r>
            <a:rPr b="0" lang="en-US" sz="1100">
              <a:solidFill>
                <a:schemeClr val="dk1"/>
              </a:solidFill>
              <a:effectLst/>
              <a:latin typeface="+mn-lt"/>
              <a:ea typeface="+mn-ea"/>
              <a:cs typeface="+mn-cs"/>
            </a:rPr>
            <a:t>● </a:t>
          </a:r>
          <a:r>
            <a:rPr b="1" lang="en-US"/>
            <a:t>Ease of Use:</a:t>
          </a:r>
          <a:r>
            <a:rPr lang="en-US"/>
            <a:t> Robo-Advisors provide a user-friendly and automated way to manage investments, making them accessible even to those without extensive financial knowledge</a:t>
          </a:r>
        </a:p>
        <a:p>
          <a:r>
            <a:rPr b="0" lang="en-US" sz="1100">
              <a:solidFill>
                <a:schemeClr val="dk1"/>
              </a:solidFill>
              <a:effectLst/>
              <a:latin typeface="+mn-lt"/>
              <a:ea typeface="+mn-ea"/>
              <a:cs typeface="+mn-cs"/>
            </a:rPr>
            <a:t>● </a:t>
          </a:r>
          <a:r>
            <a:rPr b="1" lang="en-US"/>
            <a:t>Lower Fees:</a:t>
          </a:r>
          <a:r>
            <a:rPr lang="en-US"/>
            <a:t> Compared to traditional financial advisors, Robo-Advisors charge lower management fees, attracting cost-conscious investors</a:t>
          </a:r>
        </a:p>
        <a:p>
          <a:r>
            <a:rPr b="0" lang="en-US" sz="1100">
              <a:solidFill>
                <a:schemeClr val="dk1"/>
              </a:solidFill>
              <a:effectLst/>
              <a:latin typeface="+mn-lt"/>
              <a:ea typeface="+mn-ea"/>
              <a:cs typeface="+mn-cs"/>
            </a:rPr>
            <a:t>● </a:t>
          </a:r>
          <a:r>
            <a:rPr b="1" lang="en-US"/>
            <a:t>Personalization:</a:t>
          </a:r>
          <a:r>
            <a:rPr lang="en-US"/>
            <a:t> Robo-Advisors use advanced algorithms to deliver personalized investment advice and portfolio management based on individual goals and risk tolerance</a:t>
          </a:r>
        </a:p>
        <a:p>
          <a:r>
            <a:rPr b="0" lang="en-US" sz="1100">
              <a:solidFill>
                <a:schemeClr val="dk1"/>
              </a:solidFill>
              <a:effectLst/>
              <a:latin typeface="+mn-lt"/>
              <a:ea typeface="+mn-ea"/>
              <a:cs typeface="+mn-cs"/>
            </a:rPr>
            <a:t>● </a:t>
          </a:r>
          <a:r>
            <a:rPr b="1" lang="en-US"/>
            <a:t>Convenience:</a:t>
          </a:r>
          <a:r>
            <a:rPr lang="en-US"/>
            <a:t> Investors can easily set up and manage their accounts online or via mobile apps, benefiting from the convenience of digital access and automated management</a:t>
          </a:r>
        </a:p>
        <a:p>
          <a:r>
            <a:rPr b="0" lang="en-US" sz="1100">
              <a:solidFill>
                <a:schemeClr val="dk1"/>
              </a:solidFill>
              <a:effectLst/>
              <a:latin typeface="+mn-lt"/>
              <a:ea typeface="+mn-ea"/>
              <a:cs typeface="+mn-cs"/>
            </a:rPr>
            <a:t>● </a:t>
          </a:r>
          <a:r>
            <a:rPr b="1" lang="en-US"/>
            <a:t>Continuous Monitoring:</a:t>
          </a:r>
          <a:r>
            <a:rPr lang="en-US"/>
            <a:t> Robo-Advisors continuously monitor and rebalance portfolios to maintain the desired asset allocation, ensuring alignment with investor goals</a:t>
          </a:r>
        </a:p>
        <a:p>
          <a:endParaRPr kern="1200" lang="en-US" sz="1100"/>
        </a:p>
      </xdr:txBody>
    </xdr:sp>
    <xdr:clientData fLocksWithSheet="0"/>
  </xdr:oneCellAnchor>
  <xdr:oneCellAnchor>
    <xdr:from>
      <xdr:col>2</xdr:col>
      <xdr:colOff>19050</xdr:colOff>
      <xdr:row>6</xdr:row>
      <xdr:rowOff>9525</xdr:rowOff>
    </xdr:from>
    <xdr:ext cx="8439150" cy="4400550"/>
    <xdr:sp macro="" textlink="">
      <xdr:nvSpPr>
        <xdr:cNvPr id="3" name="TextBox 2">
          <a:extLst>
            <a:ext uri="{FF2B5EF4-FFF2-40B4-BE49-F238E27FC236}"/>
          </a:extLst>
        </xdr:cNvPr>
        <xdr:cNvSpPr txBox="1"/>
      </xdr:nvSpPr>
      <xdr:spPr>
        <a:xfrm>
          <a:off x="7346949" y="3263900"/>
          <a:ext cx="8432801" cy="4403725"/>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r>
            <a:rPr b="1" kern="1200" lang="en-US" sz="1100" u="sng"/>
            <a:t>Market</a:t>
          </a:r>
          <a:r>
            <a:rPr b="1" kern="1200" lang="en-US" sz="1100"/>
            <a:t>: </a:t>
          </a:r>
        </a:p>
        <a:p>
          <a:r>
            <a:rPr lang="en-US"/>
            <a:t>Highly fragmented with a mix of digitally native Robo-Advisory firms and traditional institutions launching their own Robo-Advisory platforms.</a:t>
          </a:r>
        </a:p>
        <a:p>
          <a:endParaRPr b="1" kern="1200" lang="en-US" sz="1100"/>
        </a:p>
        <a:p>
          <a:r>
            <a:rPr b="1" kern="1200" lang="en-US" sz="1100" u="sng"/>
            <a:t>Key</a:t>
          </a:r>
          <a:r>
            <a:rPr b="1" kern="1200" lang="en-US" sz="1100" u="sng"/>
            <a:t> Competitors</a:t>
          </a:r>
          <a:r>
            <a:rPr b="1" kern="1200" lang="en-US" sz="1100"/>
            <a:t>:</a:t>
          </a:r>
        </a:p>
        <a:p>
          <a:r>
            <a:rPr b="0" lang="en-US" sz="1100">
              <a:solidFill>
                <a:schemeClr val="dk1"/>
              </a:solidFill>
              <a:effectLst/>
              <a:latin typeface="+mn-lt"/>
              <a:ea typeface="+mn-ea"/>
              <a:cs typeface="+mn-cs"/>
            </a:rPr>
            <a:t>● </a:t>
          </a:r>
          <a:r>
            <a:rPr b="1" kern="1200" lang="en-US" sz="1100"/>
            <a:t>Digital Natives</a:t>
          </a:r>
          <a:r>
            <a:rPr b="0" kern="1200" lang="en-US" sz="1100"/>
            <a:t>: </a:t>
          </a:r>
          <a:r>
            <a:rPr lang="en-US"/>
            <a:t>Betterment, Wealthfront, Interactive Brokers,</a:t>
          </a:r>
          <a:r>
            <a:rPr lang="en-US"/>
            <a:t> SoFi, E-Trade</a:t>
          </a:r>
          <a:endParaRPr b="0" kern="1200" lang="en-US" sz="1100"/>
        </a:p>
        <a:p>
          <a:r>
            <a:rPr b="0" lang="en-US" sz="1100">
              <a:solidFill>
                <a:schemeClr val="dk1"/>
              </a:solidFill>
              <a:effectLst/>
              <a:latin typeface="+mn-lt"/>
              <a:ea typeface="+mn-ea"/>
              <a:cs typeface="+mn-cs"/>
            </a:rPr>
            <a:t>● </a:t>
          </a:r>
          <a:r>
            <a:rPr b="1" kern="1200" lang="en-US" sz="1100"/>
            <a:t>Traditional institutions</a:t>
          </a:r>
          <a:r>
            <a:rPr b="0" kern="1200" lang="en-US" sz="1100"/>
            <a:t>: </a:t>
          </a:r>
          <a:r>
            <a:rPr lang="en-US"/>
            <a:t>Vanguard Digital Advisor, Schwab Intelligent Portfolios, Fidelity Go, Wells Fargo</a:t>
          </a:r>
          <a:r>
            <a:rPr lang="en-US"/>
            <a:t> Intuitive Investor</a:t>
          </a:r>
          <a:endParaRPr b="0" kern="1200" lang="en-US" sz="1100"/>
        </a:p>
        <a:p>
          <a:endParaRPr b="1" kern="1200" lang="en-US" sz="1100"/>
        </a:p>
        <a:p>
          <a:r>
            <a:rPr b="1" kern="1200" lang="en-US" sz="1100" u="sng"/>
            <a:t>Barriers to Entry</a:t>
          </a:r>
          <a:r>
            <a:rPr b="1" kern="1200" lang="en-US" sz="1100"/>
            <a:t>:</a:t>
          </a:r>
        </a:p>
        <a:p>
          <a:r>
            <a:rPr b="0" lang="en-US" sz="1100">
              <a:solidFill>
                <a:schemeClr val="dk1"/>
              </a:solidFill>
              <a:effectLst/>
              <a:latin typeface="+mn-lt"/>
              <a:ea typeface="+mn-ea"/>
              <a:cs typeface="+mn-cs"/>
            </a:rPr>
            <a:t>● </a:t>
          </a:r>
          <a:r>
            <a:rPr b="1" kern="1200" lang="en-US" sz="1100"/>
            <a:t>Technology</a:t>
          </a:r>
          <a:r>
            <a:rPr b="0" kern="1200" lang="en-US" sz="1100"/>
            <a:t>: </a:t>
          </a:r>
          <a:r>
            <a:rPr lang="en-US"/>
            <a:t>Developing an effective algorithm and maintaining a secure, user-friendly platform requires significant technological investment</a:t>
          </a:r>
          <a:endParaRPr b="0" kern="1200" lang="en-US" sz="1100"/>
        </a:p>
        <a:p>
          <a:r>
            <a:rPr b="0" kern="1200" lang="en-US" sz="1100">
              <a:latin typeface="Arial" panose="020B0604020202020204" pitchFamily="34" charset="0"/>
              <a:cs typeface="Arial" panose="020B0604020202020204" pitchFamily="34" charset="0"/>
            </a:rPr>
            <a:t>● </a:t>
          </a:r>
          <a:r>
            <a:rPr b="1" kern="1200" lang="en-US" sz="1100"/>
            <a:t>Regulatory Compliance</a:t>
          </a:r>
          <a:r>
            <a:rPr b="0" kern="1200" lang="en-US" sz="1100"/>
            <a:t>: E</a:t>
          </a:r>
          <a:r>
            <a:rPr lang="en-US"/>
            <a:t>nsuring compliance with financial regulations and maintaining data security can be complex and resource-intensive</a:t>
          </a:r>
          <a:endParaRPr b="0" kern="1200" lang="en-US" sz="1100"/>
        </a:p>
        <a:p>
          <a:r>
            <a:rPr b="1" lang="en-US" sz="1100">
              <a:solidFill>
                <a:schemeClr val="dk1"/>
              </a:solidFill>
              <a:effectLst/>
              <a:latin typeface="+mn-lt"/>
              <a:ea typeface="+mn-ea"/>
              <a:cs typeface="+mn-cs"/>
            </a:rPr>
            <a:t>● </a:t>
          </a:r>
          <a:r>
            <a:rPr b="1" kern="1200" lang="en-US" sz="1100"/>
            <a:t>Customer Loyalty</a:t>
          </a:r>
          <a:r>
            <a:rPr b="0" kern="1200" lang="en-US" sz="1100"/>
            <a:t>: </a:t>
          </a:r>
          <a:r>
            <a:rPr lang="en-US"/>
            <a:t>stablished competitors have strong customer loyalty, making it challenging for new entrants to gain market share with existing Robo-Advisor users,</a:t>
          </a:r>
          <a:r>
            <a:rPr lang="en-US"/>
            <a:t> which means TIAA may </a:t>
          </a:r>
          <a:r>
            <a:rPr lang="en-US"/>
            <a:t>have to focus on converting non-Robo-Advisor users to the platform</a:t>
          </a:r>
        </a:p>
        <a:p>
          <a:endParaRPr b="0" kern="1200" lang="en-US" sz="1100"/>
        </a:p>
        <a:p>
          <a:r>
            <a:rPr b="1" kern="1200" lang="en-US" sz="1100" u="sng"/>
            <a:t>Considerations:</a:t>
          </a:r>
          <a:endParaRPr b="1" kern="1200" lang="en-US" sz="1100" u="sng"/>
        </a:p>
        <a:p>
          <a:pPr defTabSz="914400" eaLnBrk="1" hangingPunct="1" indent="0" latinLnBrk="0" lvl="0" marL="0" marR="0" fontAlgn="auto">
            <a:lnSpc>
              <a:spcPct val="100000"/>
            </a:lnSpc>
            <a:spcBef>
              <a:spcPts val="0"/>
            </a:spcBef>
            <a:spcAft>
              <a:spcPts val="0"/>
            </a:spcAft>
            <a:buClrTx/>
            <a:buSzTx/>
            <a:buFontTx/>
            <a:buNone/>
            <a:tabLst/>
            <a:defRPr/>
          </a:pPr>
          <a:r>
            <a:rPr b="0" lang="en-US" sz="1100">
              <a:solidFill>
                <a:schemeClr val="dk1"/>
              </a:solidFill>
              <a:effectLst/>
              <a:latin typeface="+mn-lt"/>
              <a:ea typeface="+mn-ea"/>
              <a:cs typeface="+mn-cs"/>
            </a:rPr>
            <a:t>● </a:t>
          </a:r>
          <a:r>
            <a:rPr b="1" lang="en-US"/>
            <a:t>Leverage Brand Strength</a:t>
          </a:r>
          <a:r>
            <a:rPr b="0" lang="en-US"/>
            <a:t>: </a:t>
          </a:r>
          <a:r>
            <a:rPr lang="en-US"/>
            <a:t>Offering superior customer service, educational resources, and readily available human advisor support can set TIAA apart from other Robo-Advisory platforms</a:t>
          </a:r>
          <a:endParaRPr b="0" lang="en-US"/>
        </a:p>
        <a:p>
          <a:r>
            <a:rPr b="0" lang="en-US" sz="1100">
              <a:solidFill>
                <a:schemeClr val="dk1"/>
              </a:solidFill>
              <a:effectLst/>
              <a:latin typeface="+mn-lt"/>
              <a:ea typeface="+mn-ea"/>
              <a:cs typeface="+mn-cs"/>
            </a:rPr>
            <a:t>● </a:t>
          </a:r>
          <a:r>
            <a:rPr b="1" lang="en-US"/>
            <a:t>Differentiate through Customer Service</a:t>
          </a:r>
          <a:r>
            <a:rPr b="0" lang="en-US"/>
            <a:t>: Offering superior customer service, educational resources, and readily</a:t>
          </a:r>
          <a:r>
            <a:rPr b="0" lang="en-US"/>
            <a:t> available </a:t>
          </a:r>
          <a:r>
            <a:rPr b="0" lang="en-US"/>
            <a:t>human advisor support can set TIAA apart from other Robo-Advisors</a:t>
          </a:r>
          <a:r>
            <a:rPr b="0" lang="en-US"/>
            <a:t> platforms</a:t>
          </a:r>
          <a:endParaRPr b="0" lang="en-US"/>
        </a:p>
        <a:p>
          <a:r>
            <a:rPr b="1" lang="en-US" sz="1100">
              <a:solidFill>
                <a:schemeClr val="dk1"/>
              </a:solidFill>
              <a:effectLst/>
              <a:latin typeface="+mn-lt"/>
              <a:ea typeface="+mn-ea"/>
              <a:cs typeface="+mn-cs"/>
            </a:rPr>
            <a:t>● </a:t>
          </a:r>
          <a:r>
            <a:rPr b="1" lang="en-US"/>
            <a:t>Competitive Pricing</a:t>
          </a:r>
          <a:r>
            <a:rPr b="0" lang="en-US"/>
            <a:t>: </a:t>
          </a:r>
          <a:r>
            <a:rPr lang="en-US"/>
            <a:t>Implementing a competitive and transparent fee structure will be crucial to attract new investors and potentially convert users of competing platforms</a:t>
          </a:r>
        </a:p>
        <a:p>
          <a:r>
            <a:rPr b="0" lang="en-US" sz="1100">
              <a:solidFill>
                <a:schemeClr val="dk1"/>
              </a:solidFill>
              <a:effectLst/>
              <a:latin typeface="+mn-lt"/>
              <a:ea typeface="+mn-ea"/>
              <a:cs typeface="+mn-cs"/>
            </a:rPr>
            <a:t>● </a:t>
          </a:r>
          <a:r>
            <a:rPr b="1" lang="en-US"/>
            <a:t>Integrate with Existing Services</a:t>
          </a:r>
          <a:r>
            <a:rPr b="0" lang="en-US"/>
            <a:t>: </a:t>
          </a:r>
          <a:r>
            <a:rPr lang="en-US"/>
            <a:t>Seamlessly integrating the Robo-Advisory service with TIAA’s existing product suite can provide added value and convenience for customers</a:t>
          </a:r>
          <a:endParaRPr b="0" lang="en-US"/>
        </a:p>
        <a:p>
          <a:endParaRPr b="1" kern="1200" lang="en-US" sz="1100"/>
        </a:p>
      </xdr:txBody>
    </xdr:sp>
    <xdr:clientData fLocksWithSheet="0"/>
  </xdr:oneCellAnchor>
  <xdr:oneCellAnchor>
    <xdr:from>
      <xdr:col>2</xdr:col>
      <xdr:colOff>28575</xdr:colOff>
      <xdr:row>12</xdr:row>
      <xdr:rowOff>0</xdr:rowOff>
    </xdr:from>
    <xdr:ext cx="8439150" cy="1228725"/>
    <xdr:sp macro="" textlink="">
      <xdr:nvSpPr>
        <xdr:cNvPr id="6" name="TextBox 5">
          <a:extLst>
            <a:ext uri="{FF2B5EF4-FFF2-40B4-BE49-F238E27FC236}"/>
          </a:extLst>
        </xdr:cNvPr>
        <xdr:cNvSpPr txBox="1"/>
      </xdr:nvSpPr>
      <xdr:spPr>
        <a:xfrm>
          <a:off x="7346951" y="11073342"/>
          <a:ext cx="8432800" cy="1229783"/>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pPr defTabSz="914400" eaLnBrk="1" hangingPunct="1" indent="0" latinLnBrk="0" lvl="0" marL="0" marR="0" rtl="0" fontAlgn="auto">
            <a:lnSpc>
              <a:spcPct val="100000"/>
            </a:lnSpc>
            <a:spcBef>
              <a:spcPts val="0"/>
            </a:spcBef>
            <a:spcAft>
              <a:spcPts val="0"/>
            </a:spcAft>
            <a:buClrTx/>
            <a:buSzTx/>
            <a:buFontTx/>
            <a:buNone/>
            <a:tabLst/>
            <a:defRPr/>
          </a:pPr>
          <a:r>
            <a:rPr b="1" lang="en-US" sz="1100">
              <a:solidFill>
                <a:schemeClr val="dk1"/>
              </a:solidFill>
              <a:effectLst/>
              <a:latin typeface="+mn-lt"/>
              <a:ea typeface="+mn-ea"/>
              <a:cs typeface="+mn-cs"/>
            </a:rPr>
            <a:t>TIAA’s decision to pursue market entry into the Robo-Advisory space appears to be a strategic move with significant potential</a:t>
          </a:r>
          <a:r>
            <a:rPr lang="en-US" sz="1100">
              <a:solidFill>
                <a:schemeClr val="dk1"/>
              </a:solidFill>
              <a:effectLst/>
              <a:latin typeface="+mn-lt"/>
              <a:ea typeface="+mn-ea"/>
              <a:cs typeface="+mn-cs"/>
            </a:rPr>
            <a:t>. Based on the analysis, </a:t>
          </a:r>
          <a:r>
            <a:rPr b="1" lang="en-US" sz="1100">
              <a:solidFill>
                <a:schemeClr val="dk1"/>
              </a:solidFill>
              <a:effectLst/>
              <a:latin typeface="+mn-lt"/>
              <a:ea typeface="+mn-ea"/>
              <a:cs typeface="+mn-cs"/>
            </a:rPr>
            <a:t>the estimated market opportunity of $1.6 trillion in AUM and $33.3 billion in fee revenue from 2023 to 2033 </a:t>
          </a:r>
          <a:r>
            <a:rPr lang="en-US" sz="1100">
              <a:solidFill>
                <a:schemeClr val="dk1"/>
              </a:solidFill>
              <a:effectLst/>
              <a:latin typeface="+mn-lt"/>
              <a:ea typeface="+mn-ea"/>
              <a:cs typeface="+mn-cs"/>
            </a:rPr>
            <a:t>highlights the substantial growth prospects in this sector. </a:t>
          </a:r>
          <a:r>
            <a:rPr b="1" lang="en-US" sz="1100">
              <a:solidFill>
                <a:schemeClr val="dk1"/>
              </a:solidFill>
              <a:effectLst/>
              <a:latin typeface="+mn-lt"/>
              <a:ea typeface="+mn-ea"/>
              <a:cs typeface="+mn-cs"/>
            </a:rPr>
            <a:t>TIAA could capture $1.5 billion </a:t>
          </a:r>
          <a:r>
            <a:rPr lang="en-US" sz="1100">
              <a:solidFill>
                <a:schemeClr val="dk1"/>
              </a:solidFill>
              <a:effectLst/>
              <a:latin typeface="+mn-lt"/>
              <a:ea typeface="+mn-ea"/>
              <a:cs typeface="+mn-cs"/>
            </a:rPr>
            <a:t>of this value based on market share projections</a:t>
          </a:r>
          <a:r>
            <a:rPr lang="en-US" sz="1100">
              <a:solidFill>
                <a:schemeClr val="dk1"/>
              </a:solidFill>
              <a:effectLst/>
              <a:latin typeface="+mn-lt"/>
              <a:ea typeface="+mn-ea"/>
              <a:cs typeface="+mn-cs"/>
            </a:rPr>
            <a:t> that start with 2% in 2024 and increase 0.5% each year thereafter. </a:t>
          </a:r>
        </a:p>
        <a:p>
          <a:pPr defTabSz="914400" eaLnBrk="1" hangingPunct="1" indent="0" latinLnBrk="0" lvl="0" marL="0" marR="0" rtl="0" fontAlgn="auto">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Additionally, the increasing adoption of Robo-Advisors and automated</a:t>
          </a:r>
          <a:r>
            <a:rPr lang="en-US" sz="1100">
              <a:solidFill>
                <a:schemeClr val="dk1"/>
              </a:solidFill>
              <a:effectLst/>
              <a:latin typeface="+mn-lt"/>
              <a:ea typeface="+mn-ea"/>
              <a:cs typeface="+mn-cs"/>
            </a:rPr>
            <a:t> technology in general (e.g., GenAI LLMs) </a:t>
          </a:r>
          <a:r>
            <a:rPr lang="en-US" sz="1100">
              <a:solidFill>
                <a:schemeClr val="dk1"/>
              </a:solidFill>
              <a:effectLst/>
              <a:latin typeface="+mn-lt"/>
              <a:ea typeface="+mn-ea"/>
              <a:cs typeface="+mn-cs"/>
            </a:rPr>
            <a:t>suggests strong demand for automated investment solutions. A Robo-Advisor</a:t>
          </a:r>
          <a:r>
            <a:rPr lang="en-US" sz="1100">
              <a:solidFill>
                <a:schemeClr val="dk1"/>
              </a:solidFill>
              <a:effectLst/>
              <a:latin typeface="+mn-lt"/>
              <a:ea typeface="+mn-ea"/>
              <a:cs typeface="+mn-cs"/>
            </a:rPr>
            <a:t> could also </a:t>
          </a:r>
          <a:r>
            <a:rPr b="1" lang="en-US" sz="1100">
              <a:solidFill>
                <a:schemeClr val="dk1"/>
              </a:solidFill>
              <a:effectLst/>
              <a:latin typeface="+mn-lt"/>
              <a:ea typeface="+mn-ea"/>
              <a:cs typeface="+mn-cs"/>
            </a:rPr>
            <a:t>appeal to the 50% of the workforce that do not currently contribute to retirement plans </a:t>
          </a:r>
          <a:r>
            <a:rPr lang="en-US" sz="1100">
              <a:solidFill>
                <a:schemeClr val="dk1"/>
              </a:solidFill>
              <a:effectLst/>
              <a:latin typeface="+mn-lt"/>
              <a:ea typeface="+mn-ea"/>
              <a:cs typeface="+mn-cs"/>
            </a:rPr>
            <a:t>given its ease of accessibility and monitoring. </a:t>
          </a:r>
          <a:endParaRPr lang="en-US">
            <a:effectLst/>
          </a:endParaRPr>
        </a:p>
      </xdr:txBody>
    </xdr:sp>
    <xdr:clientData fLocksWithSheet="0"/>
  </xdr:oneCellAnchor>
  <xdr:oneCellAnchor>
    <xdr:from>
      <xdr:col>2</xdr:col>
      <xdr:colOff>28575</xdr:colOff>
      <xdr:row>13</xdr:row>
      <xdr:rowOff>19050</xdr:rowOff>
    </xdr:from>
    <xdr:ext cx="8439150" cy="1533525"/>
    <xdr:sp macro="" textlink="">
      <xdr:nvSpPr>
        <xdr:cNvPr id="7" name="TextBox 6">
          <a:extLst>
            <a:ext uri="{FF2B5EF4-FFF2-40B4-BE49-F238E27FC236}"/>
          </a:extLst>
        </xdr:cNvPr>
        <xdr:cNvSpPr txBox="1"/>
      </xdr:nvSpPr>
      <xdr:spPr>
        <a:xfrm>
          <a:off x="7346951" y="12353925"/>
          <a:ext cx="8432800" cy="1540668"/>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r>
            <a:rPr kern="1200" lang="en-US" sz="1100"/>
            <a:t>Key considerations pertain to the</a:t>
          </a:r>
          <a:r>
            <a:rPr kern="1200" lang="en-US" sz="1100"/>
            <a:t> barreirs to entry and include:</a:t>
          </a:r>
        </a:p>
        <a:p>
          <a:r>
            <a:rPr b="0" lang="en-US" sz="1100">
              <a:solidFill>
                <a:schemeClr val="dk1"/>
              </a:solidFill>
              <a:effectLst/>
              <a:latin typeface="+mn-lt"/>
              <a:ea typeface="+mn-ea"/>
              <a:cs typeface="+mn-cs"/>
            </a:rPr>
            <a:t>● </a:t>
          </a:r>
          <a:r>
            <a:rPr b="1" lang="en-US"/>
            <a:t>Significant technology cost</a:t>
          </a:r>
          <a:r>
            <a:rPr lang="en-US"/>
            <a:t> and</a:t>
          </a:r>
          <a:r>
            <a:rPr lang="en-US"/>
            <a:t> time</a:t>
          </a:r>
          <a:r>
            <a:rPr lang="en-US"/>
            <a:t> investmented</a:t>
          </a:r>
          <a:r>
            <a:rPr lang="en-US"/>
            <a:t> </a:t>
          </a:r>
          <a:r>
            <a:rPr lang="en-US"/>
            <a:t>in developing and maintaining a sophisticated, secure, and user-friendly Robo-Advisory platform</a:t>
          </a:r>
        </a:p>
        <a:p>
          <a:r>
            <a:rPr b="0" lang="en-US" sz="1100">
              <a:solidFill>
                <a:schemeClr val="dk1"/>
              </a:solidFill>
              <a:effectLst/>
              <a:latin typeface="+mn-lt"/>
              <a:ea typeface="+mn-ea"/>
              <a:cs typeface="+mn-cs"/>
            </a:rPr>
            <a:t>● </a:t>
          </a:r>
          <a:r>
            <a:rPr b="1" lang="en-US"/>
            <a:t>Compliance with financial regulations </a:t>
          </a:r>
          <a:r>
            <a:rPr lang="en-US"/>
            <a:t>and maintaining robust data security measures</a:t>
          </a:r>
        </a:p>
        <a:p>
          <a:r>
            <a:rPr b="0" lang="en-US" sz="1100">
              <a:solidFill>
                <a:schemeClr val="dk1"/>
              </a:solidFill>
              <a:effectLst/>
              <a:latin typeface="+mn-lt"/>
              <a:ea typeface="+mn-ea"/>
              <a:cs typeface="+mn-cs"/>
            </a:rPr>
            <a:t>● </a:t>
          </a:r>
          <a:r>
            <a:rPr b="1" kern="1200" lang="en-US" sz="1100"/>
            <a:t>Competitive pressurres </a:t>
          </a:r>
          <a:r>
            <a:rPr b="0" kern="1200" lang="en-US" sz="1100"/>
            <a:t>f</a:t>
          </a:r>
          <a:r>
            <a:rPr lang="en-US"/>
            <a:t>rom both digitally native firms and traditional financial institutions, necessitating strong differentiation strategies</a:t>
          </a:r>
          <a:endParaRPr b="1" kern="1200" lang="en-US" sz="1100"/>
        </a:p>
        <a:p>
          <a:r>
            <a:rPr b="0" lang="en-US" sz="1100">
              <a:solidFill>
                <a:schemeClr val="dk1"/>
              </a:solidFill>
              <a:effectLst/>
              <a:latin typeface="+mn-lt"/>
              <a:ea typeface="+mn-ea"/>
              <a:cs typeface="+mn-cs"/>
            </a:rPr>
            <a:t>● </a:t>
          </a:r>
          <a:r>
            <a:rPr b="1" kern="1200" lang="en-US" sz="1100"/>
            <a:t>Educational resources and support </a:t>
          </a:r>
          <a:r>
            <a:rPr kern="1200" lang="en-US" sz="1100"/>
            <a:t>to help clients understand and use Robo-Advisory services effectively</a:t>
          </a:r>
        </a:p>
        <a:p>
          <a:r>
            <a:rPr b="0" lang="en-US" sz="1100">
              <a:solidFill>
                <a:schemeClr val="dk1"/>
              </a:solidFill>
              <a:effectLst/>
              <a:latin typeface="+mn-lt"/>
              <a:ea typeface="+mn-ea"/>
              <a:cs typeface="+mn-cs"/>
            </a:rPr>
            <a:t>● </a:t>
          </a:r>
          <a:r>
            <a:rPr b="1" lang="en-US"/>
            <a:t>Integration of the Robo-Advisory</a:t>
          </a:r>
          <a:r>
            <a:rPr lang="en-US"/>
            <a:t> servicewith TIAA’s existing product offerings to provide a comprehensive financial solution</a:t>
          </a:r>
          <a:endParaRPr kern="1200" lang="en-US" sz="1100"/>
        </a:p>
      </xdr:txBody>
    </xdr:sp>
    <xdr:clientData fLocksWithSheet="0"/>
  </xdr:oneCellAnchor>
  <xdr:oneCellAnchor>
    <xdr:from>
      <xdr:col>2</xdr:col>
      <xdr:colOff>28575</xdr:colOff>
      <xdr:row>14</xdr:row>
      <xdr:rowOff>19050</xdr:rowOff>
    </xdr:from>
    <xdr:ext cx="8439150" cy="904875"/>
    <xdr:sp macro="" textlink="">
      <xdr:nvSpPr>
        <xdr:cNvPr id="8" name="TextBox 7">
          <a:extLst>
            <a:ext uri="{FF2B5EF4-FFF2-40B4-BE49-F238E27FC236}"/>
          </a:extLst>
        </xdr:cNvPr>
        <xdr:cNvSpPr txBox="1"/>
      </xdr:nvSpPr>
      <xdr:spPr>
        <a:xfrm>
          <a:off x="7346950" y="13941425"/>
          <a:ext cx="8432800" cy="909637"/>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r>
            <a:rPr b="1" lang="en-US"/>
            <a:t>I strongly recommend that TIAA should pursue market entry into the Robo-Advisory product market</a:t>
          </a:r>
          <a:r>
            <a:rPr lang="en-US"/>
            <a:t>. The substantial market opportunity, combined with TIAA’s strong brand reputation and mission-driven approach, positions the company well to succeed in this competitive landscape. By leveraging technology, offering competitive pricing, and providing superior customer service, TIAA can capture market share and achieve long-term growth in the Robo-Advisory space.</a:t>
          </a:r>
          <a:endParaRPr kern="1200" lang="en-US" sz="1100"/>
        </a:p>
      </xdr:txBody>
    </xdr:sp>
    <xdr:clientData fLocksWithSheet="0"/>
  </xdr:oneCellAnchor>
  <xdr:oneCellAnchor>
    <xdr:from>
      <xdr:col>2</xdr:col>
      <xdr:colOff>19050</xdr:colOff>
      <xdr:row>7</xdr:row>
      <xdr:rowOff>47625</xdr:rowOff>
    </xdr:from>
    <xdr:ext cx="8439150" cy="1819275"/>
    <xdr:sp macro="" textlink="">
      <xdr:nvSpPr>
        <xdr:cNvPr id="9" name="TextBox 8">
          <a:extLst>
            <a:ext uri="{FF2B5EF4-FFF2-40B4-BE49-F238E27FC236}"/>
          </a:extLst>
        </xdr:cNvPr>
        <xdr:cNvSpPr txBox="1"/>
      </xdr:nvSpPr>
      <xdr:spPr>
        <a:xfrm>
          <a:off x="7346949" y="7747000"/>
          <a:ext cx="8432801" cy="1825625"/>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r>
            <a:rPr lang="en-US"/>
            <a:t>The compression of future management fees for investment managers and Robo-Advisors is driven by several factors:</a:t>
          </a:r>
        </a:p>
        <a:p>
          <a:r>
            <a:rPr b="0" lang="en-US" sz="1100">
              <a:solidFill>
                <a:schemeClr val="dk1"/>
              </a:solidFill>
              <a:effectLst/>
              <a:latin typeface="+mn-lt"/>
              <a:ea typeface="+mn-ea"/>
              <a:cs typeface="+mn-cs"/>
            </a:rPr>
            <a:t>● </a:t>
          </a:r>
          <a:r>
            <a:rPr b="1" lang="en-US"/>
            <a:t>Increased Competition:</a:t>
          </a:r>
          <a:r>
            <a:rPr lang="en-US"/>
            <a:t> The proliferation of Robo-Advisors and digital investment platforms has intensified competition, leading to fee reductions as firms strive to attract and retain clients</a:t>
          </a:r>
        </a:p>
        <a:p>
          <a:r>
            <a:rPr b="0" lang="en-US" sz="1100">
              <a:solidFill>
                <a:schemeClr val="dk1"/>
              </a:solidFill>
              <a:effectLst/>
              <a:latin typeface="+mn-lt"/>
              <a:ea typeface="+mn-ea"/>
              <a:cs typeface="+mn-cs"/>
            </a:rPr>
            <a:t>● </a:t>
          </a:r>
          <a:r>
            <a:rPr b="1" lang="en-US"/>
            <a:t>Technological Advancements:</a:t>
          </a:r>
          <a:r>
            <a:rPr lang="en-US"/>
            <a:t> Automation and advancements in technology have reduced the cost of providing investment management services, enabling firms to offer lower fees</a:t>
          </a:r>
        </a:p>
        <a:p>
          <a:r>
            <a:rPr b="0" lang="en-US" sz="1100">
              <a:solidFill>
                <a:schemeClr val="dk1"/>
              </a:solidFill>
              <a:effectLst/>
              <a:latin typeface="+mn-lt"/>
              <a:ea typeface="+mn-ea"/>
              <a:cs typeface="+mn-cs"/>
            </a:rPr>
            <a:t>● </a:t>
          </a:r>
          <a:r>
            <a:rPr b="1" lang="en-US"/>
            <a:t>Customer Demand:</a:t>
          </a:r>
          <a:r>
            <a:rPr lang="en-US"/>
            <a:t> Investors are increasingly fee-conscious and demand more value for their money. There is a growing expectation for low-cost investment solutions without compromising on quality</a:t>
          </a:r>
        </a:p>
        <a:p>
          <a:r>
            <a:rPr b="0" lang="en-US" sz="1100">
              <a:solidFill>
                <a:schemeClr val="dk1"/>
              </a:solidFill>
              <a:effectLst/>
              <a:latin typeface="+mn-lt"/>
              <a:ea typeface="+mn-ea"/>
              <a:cs typeface="+mn-cs"/>
            </a:rPr>
            <a:t>● </a:t>
          </a:r>
          <a:r>
            <a:rPr b="1" lang="en-US"/>
            <a:t>Regulatory Pressure:</a:t>
          </a:r>
          <a:r>
            <a:rPr lang="en-US"/>
            <a:t> Regulatory bodies have been advocating for greater fee transparency and lower costs for investors, further driving fee compression in the industry</a:t>
          </a:r>
        </a:p>
      </xdr:txBody>
    </xdr:sp>
    <xdr:clientData fLocksWithSheet="0"/>
  </xdr:oneCellAnchor>
  <xdr:oneCellAnchor>
    <xdr:from>
      <xdr:col>2</xdr:col>
      <xdr:colOff>19050</xdr:colOff>
      <xdr:row>9</xdr:row>
      <xdr:rowOff>19050</xdr:rowOff>
    </xdr:from>
    <xdr:ext cx="8439150" cy="590550"/>
    <xdr:sp macro="" textlink="">
      <xdr:nvSpPr>
        <xdr:cNvPr id="10" name="TextBox 9">
          <a:extLst>
            <a:ext uri="{FF2B5EF4-FFF2-40B4-BE49-F238E27FC236}"/>
          </a:extLst>
        </xdr:cNvPr>
        <xdr:cNvSpPr txBox="1"/>
      </xdr:nvSpPr>
      <xdr:spPr>
        <a:xfrm>
          <a:off x="7346949" y="9818688"/>
          <a:ext cx="8432801" cy="595312"/>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r>
            <a:rPr lang="en-US"/>
            <a:t>Given the substantial market opportunity, favorable financial metrics (including a 9-year payback period and $137 million NPV), and TIAA's strong brand, entering the Robo-Advisory market is a strategically sound decision.</a:t>
          </a: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180975</xdr:rowOff>
    </xdr:from>
    <xdr:ext cx="8524875" cy="28956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Nuveen Template">
      <a:dk1>
        <a:sysClr lastClr="000000" val="windowText"/>
      </a:dk1>
      <a:lt1>
        <a:sysClr lastClr="FFFFFF" val="window"/>
      </a:lt1>
      <a:dk2>
        <a:srgbClr val="263746"/>
      </a:dk2>
      <a:lt2>
        <a:srgbClr val="008FBE"/>
      </a:lt2>
      <a:accent1>
        <a:srgbClr val="008FBE"/>
      </a:accent1>
      <a:accent2>
        <a:srgbClr val="075156"/>
      </a:accent2>
      <a:accent3>
        <a:srgbClr val="00AD97"/>
      </a:accent3>
      <a:accent4>
        <a:srgbClr val="6EAFBD"/>
      </a:accent4>
      <a:accent5>
        <a:srgbClr val="25B34B"/>
      </a:accent5>
      <a:accent6>
        <a:srgbClr val="C3D62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rticles.smartasset.com/is-the-4-percent-rule-still-safe/index.php?utm_source=google&amp;utm_campaign=goo__falc_dsa&amp;utm_term=&amp;utm_content=169987162739_719670744416&amp;gclid=Cj0KCQiAgdC6BhCgARIsAPWNWH3pnrqludXeAp3t1veafLelPTVa-QObPIBe2CUNR9nA0cra89W9IaQaAilwEALw_wcB" TargetMode="External"/><Relationship Id="rId3" Type="http://schemas.openxmlformats.org/officeDocument/2006/relationships/hyperlink" Target="https://financebuzz.com/retirement-withdrawals-survey"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iotoanalysis.com/news/2023/1/24/which-discount-rate-should-i-us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56"/>
    <col customWidth="1" min="2" max="2" width="28.0"/>
    <col customWidth="1" min="3" max="6" width="23.33"/>
    <col customWidth="1" min="7" max="11" width="6.78"/>
  </cols>
  <sheetData>
    <row r="2" ht="15.0" customHeight="1">
      <c r="B2" s="1" t="s">
        <v>0</v>
      </c>
    </row>
    <row r="4" ht="15.0" customHeight="1">
      <c r="B4" s="2" t="s">
        <v>1</v>
      </c>
    </row>
    <row r="5" ht="15.0" customHeight="1">
      <c r="B5" s="2" t="s">
        <v>2</v>
      </c>
    </row>
    <row r="6" ht="15.0" customHeight="1">
      <c r="B6" s="2" t="s">
        <v>3</v>
      </c>
    </row>
    <row r="8" ht="15.0" customHeight="1">
      <c r="B8" s="3" t="s">
        <v>4</v>
      </c>
    </row>
    <row r="10" ht="15.0" customHeight="1">
      <c r="B10" s="4" t="s">
        <v>5</v>
      </c>
    </row>
    <row r="11" ht="33.0" customHeight="1">
      <c r="B11" s="5" t="s">
        <v>6</v>
      </c>
    </row>
    <row r="13" ht="15.0" customHeight="1">
      <c r="B13" s="4" t="s">
        <v>7</v>
      </c>
    </row>
    <row r="14" ht="33.0" customHeight="1">
      <c r="B14" s="5" t="s">
        <v>8</v>
      </c>
    </row>
    <row r="16" ht="15.0" customHeight="1">
      <c r="B16" s="4" t="s">
        <v>9</v>
      </c>
    </row>
    <row r="17" ht="15.0" customHeight="1">
      <c r="B17" s="2" t="s">
        <v>10</v>
      </c>
    </row>
    <row r="19" ht="15.0" customHeight="1">
      <c r="B19" s="4" t="s">
        <v>11</v>
      </c>
    </row>
    <row r="20" ht="33.0" customHeight="1">
      <c r="B20" s="5" t="s">
        <v>12</v>
      </c>
    </row>
    <row r="21" ht="15.75" customHeight="1"/>
    <row r="22" ht="15.0" customHeight="1">
      <c r="B22" s="4" t="s">
        <v>13</v>
      </c>
    </row>
    <row r="23" ht="15.0" customHeight="1">
      <c r="B23" s="2" t="s">
        <v>14</v>
      </c>
    </row>
    <row r="24" ht="33.0" customHeight="1">
      <c r="B24" s="2" t="s">
        <v>15</v>
      </c>
    </row>
    <row r="25" ht="15.0" customHeight="1">
      <c r="B25" s="2" t="s">
        <v>16</v>
      </c>
    </row>
    <row r="26" ht="15.75" customHeight="1"/>
    <row r="27" ht="15.0" customHeight="1">
      <c r="B27" s="4" t="s">
        <v>17</v>
      </c>
    </row>
    <row r="28" ht="15.0" customHeight="1">
      <c r="B28" s="5" t="s">
        <v>18</v>
      </c>
    </row>
    <row r="29" ht="15.0" customHeight="1">
      <c r="B29" s="5" t="s">
        <v>19</v>
      </c>
    </row>
    <row r="30" ht="15.0" customHeight="1">
      <c r="B30" s="5" t="s">
        <v>20</v>
      </c>
    </row>
    <row r="31" ht="15.75" customHeight="1"/>
    <row r="32" ht="15.0" customHeight="1">
      <c r="B32" s="4" t="s">
        <v>21</v>
      </c>
    </row>
    <row r="33" ht="15.0" customHeight="1">
      <c r="B33" s="2" t="s">
        <v>22</v>
      </c>
    </row>
    <row r="34" ht="15.0" customHeight="1">
      <c r="B34" s="2" t="s">
        <v>23</v>
      </c>
    </row>
    <row r="35" ht="15.75" customHeight="1"/>
    <row r="36" ht="15.75" customHeight="1"/>
    <row r="37" ht="24.0" customHeight="1">
      <c r="B37" s="6" t="s">
        <v>24</v>
      </c>
      <c r="C37" s="7"/>
      <c r="D37" s="7"/>
      <c r="E37" s="7"/>
      <c r="F37" s="8"/>
    </row>
    <row r="38" ht="48.0" customHeight="1">
      <c r="B38" s="2" t="s">
        <v>25</v>
      </c>
    </row>
    <row r="39" ht="15.75" customHeight="1"/>
    <row r="40" ht="15.75" customHeight="1">
      <c r="B40" s="9" t="s">
        <v>26</v>
      </c>
      <c r="C40" s="9" t="s">
        <v>27</v>
      </c>
      <c r="D40" s="10" t="s">
        <v>28</v>
      </c>
      <c r="E40" s="11"/>
      <c r="F40" s="12"/>
    </row>
    <row r="41" ht="48.0" customHeight="1">
      <c r="B41" s="13" t="s">
        <v>29</v>
      </c>
      <c r="C41" s="13" t="s">
        <v>30</v>
      </c>
      <c r="D41" s="14" t="s">
        <v>31</v>
      </c>
      <c r="E41" s="11"/>
      <c r="F41" s="12"/>
    </row>
    <row r="42" ht="63.0" customHeight="1">
      <c r="B42" s="13" t="s">
        <v>32</v>
      </c>
      <c r="C42" s="13" t="s">
        <v>33</v>
      </c>
      <c r="D42" s="14" t="s">
        <v>34</v>
      </c>
      <c r="E42" s="11"/>
      <c r="F42" s="12"/>
    </row>
    <row r="43" ht="33.0" customHeight="1">
      <c r="B43" s="13" t="s">
        <v>35</v>
      </c>
      <c r="C43" s="13" t="s">
        <v>36</v>
      </c>
      <c r="D43" s="14" t="s">
        <v>37</v>
      </c>
      <c r="E43" s="11"/>
      <c r="F43" s="12"/>
    </row>
    <row r="44" ht="33.0" customHeight="1">
      <c r="B44" s="13" t="s">
        <v>38</v>
      </c>
      <c r="C44" s="13" t="s">
        <v>39</v>
      </c>
      <c r="D44" s="14" t="s">
        <v>40</v>
      </c>
      <c r="E44" s="11"/>
      <c r="F44" s="12"/>
    </row>
    <row r="45" ht="48.0" customHeight="1">
      <c r="B45" s="13" t="s">
        <v>41</v>
      </c>
      <c r="C45" s="13" t="s">
        <v>42</v>
      </c>
      <c r="D45" s="14" t="s">
        <v>43</v>
      </c>
      <c r="E45" s="11"/>
      <c r="F45" s="12"/>
    </row>
    <row r="46" ht="33.0" customHeight="1">
      <c r="B46" s="13" t="s">
        <v>44</v>
      </c>
      <c r="C46" s="13" t="s">
        <v>45</v>
      </c>
      <c r="D46" s="14" t="s">
        <v>46</v>
      </c>
      <c r="E46" s="11"/>
      <c r="F46" s="12"/>
    </row>
    <row r="47" ht="33.0" customHeight="1">
      <c r="B47" s="13" t="s">
        <v>47</v>
      </c>
      <c r="C47" s="13" t="s">
        <v>48</v>
      </c>
      <c r="D47" s="14" t="s">
        <v>49</v>
      </c>
      <c r="E47" s="11"/>
      <c r="F47" s="12"/>
    </row>
    <row r="48" ht="48.0" customHeight="1">
      <c r="B48" s="13" t="s">
        <v>50</v>
      </c>
      <c r="C48" s="13" t="s">
        <v>51</v>
      </c>
      <c r="D48" s="14" t="s">
        <v>52</v>
      </c>
      <c r="E48" s="11"/>
      <c r="F48" s="12"/>
    </row>
    <row r="49" ht="15.75" customHeight="1"/>
    <row r="50" ht="15.0" customHeight="1">
      <c r="B50" s="4" t="s">
        <v>53</v>
      </c>
    </row>
    <row r="51" ht="33.0" customHeight="1">
      <c r="B51" s="9" t="s">
        <v>54</v>
      </c>
      <c r="C51" s="9" t="s">
        <v>55</v>
      </c>
      <c r="D51" s="9" t="s">
        <v>56</v>
      </c>
      <c r="E51" s="9" t="s">
        <v>57</v>
      </c>
    </row>
    <row r="52" ht="18.0" customHeight="1">
      <c r="B52" s="13" t="s">
        <v>58</v>
      </c>
      <c r="C52" s="15">
        <v>1586327.4045097735</v>
      </c>
      <c r="D52" s="15">
        <v>1594985.77158</v>
      </c>
      <c r="E52" s="15" t="str">
        <f>'Module 1'!N9</f>
        <v>2,250,257</v>
      </c>
    </row>
    <row r="53" ht="33.0" customHeight="1">
      <c r="B53" s="13" t="s">
        <v>59</v>
      </c>
      <c r="C53" s="15">
        <v>33314.5766765906</v>
      </c>
      <c r="D53" s="15">
        <v>33411.12065894633</v>
      </c>
      <c r="E53" s="15" t="str">
        <f>SUM('Module 1'!D10:N10)</f>
        <v>42,313</v>
      </c>
    </row>
    <row r="54" ht="18.0" customHeight="1">
      <c r="B54" s="16" t="s">
        <v>60</v>
      </c>
      <c r="C54" s="17">
        <v>2032.0</v>
      </c>
      <c r="D54" s="17">
        <v>2032.0</v>
      </c>
      <c r="E54" s="18" t="str">
        <f>'Module 2'!C16</f>
        <v>2031 </v>
      </c>
    </row>
    <row r="55" ht="33.0" customHeight="1">
      <c r="B55" s="16" t="s">
        <v>61</v>
      </c>
      <c r="C55" s="19">
        <v>136.62367595357443</v>
      </c>
      <c r="D55" s="19">
        <v>140.590506679301</v>
      </c>
      <c r="E55" s="19" t="str">
        <f>'Module 2'!C18</f>
        <v>491.09</v>
      </c>
    </row>
    <row r="56" ht="18.0" customHeight="1">
      <c r="B56" s="16" t="s">
        <v>62</v>
      </c>
      <c r="C56" s="13" t="s">
        <v>63</v>
      </c>
      <c r="D56" s="20">
        <v>0.0666207755708242</v>
      </c>
      <c r="E56" s="20" t="str">
        <f>'Module 2'!C19</f>
        <v>13.6%</v>
      </c>
    </row>
    <row r="57" ht="15.0" customHeight="1">
      <c r="B57" s="21" t="s">
        <v>64</v>
      </c>
    </row>
    <row r="58" ht="15.75" customHeight="1"/>
    <row r="59" ht="15.0" customHeight="1">
      <c r="B59" s="4" t="s">
        <v>65</v>
      </c>
    </row>
    <row r="60" ht="48.0" customHeight="1">
      <c r="B60" s="2" t="s">
        <v>66</v>
      </c>
    </row>
    <row r="61" ht="15.75" customHeight="1"/>
    <row r="62" ht="15.0" customHeight="1">
      <c r="B62" s="4" t="s">
        <v>67</v>
      </c>
    </row>
    <row r="63" ht="33.0" customHeight="1">
      <c r="B63" s="2" t="s">
        <v>68</v>
      </c>
    </row>
    <row r="64" ht="15.0" customHeight="1">
      <c r="B64" s="2" t="s">
        <v>69</v>
      </c>
    </row>
    <row r="65" ht="15.0" customHeight="1">
      <c r="B65" s="2" t="s">
        <v>70</v>
      </c>
    </row>
    <row r="66" ht="15.0" customHeight="1">
      <c r="B66" s="2" t="s">
        <v>71</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4">
    <mergeCell ref="B2:F2"/>
    <mergeCell ref="B4:F4"/>
    <mergeCell ref="B5:F5"/>
    <mergeCell ref="B6:F6"/>
    <mergeCell ref="B8:F8"/>
    <mergeCell ref="B10:F10"/>
    <mergeCell ref="B11:F11"/>
    <mergeCell ref="B13:F13"/>
    <mergeCell ref="B14:F14"/>
    <mergeCell ref="B16:F16"/>
    <mergeCell ref="B17:F17"/>
    <mergeCell ref="B19:F19"/>
    <mergeCell ref="B20:F20"/>
    <mergeCell ref="B22:F22"/>
    <mergeCell ref="B23:F23"/>
    <mergeCell ref="B24:F24"/>
    <mergeCell ref="B25:F25"/>
    <mergeCell ref="B27:F27"/>
    <mergeCell ref="B28:F28"/>
    <mergeCell ref="B29:F29"/>
    <mergeCell ref="B30:F30"/>
    <mergeCell ref="B32:F32"/>
    <mergeCell ref="B33:F33"/>
    <mergeCell ref="B34:F34"/>
    <mergeCell ref="B37:F37"/>
    <mergeCell ref="B38:F38"/>
    <mergeCell ref="D40:F40"/>
    <mergeCell ref="D41:F41"/>
    <mergeCell ref="D42:F42"/>
    <mergeCell ref="D43:F43"/>
    <mergeCell ref="D44:F44"/>
    <mergeCell ref="D45:F45"/>
    <mergeCell ref="D46:F46"/>
    <mergeCell ref="D47:F47"/>
    <mergeCell ref="D48:F48"/>
    <mergeCell ref="B65:F65"/>
    <mergeCell ref="B66:F66"/>
    <mergeCell ref="B50:F50"/>
    <mergeCell ref="B57:F57"/>
    <mergeCell ref="B59:F59"/>
    <mergeCell ref="B60:F60"/>
    <mergeCell ref="B62:F62"/>
    <mergeCell ref="B63:F63"/>
    <mergeCell ref="B64:F6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6.78"/>
    <col customWidth="1" min="2" max="3" width="78.33"/>
    <col customWidth="1" min="4" max="4" width="13.78"/>
    <col customWidth="1" min="5" max="11" width="6.78"/>
  </cols>
  <sheetData>
    <row r="1">
      <c r="B1" s="2"/>
      <c r="C1" s="2"/>
    </row>
    <row r="2">
      <c r="B2" s="2"/>
      <c r="C2" s="2"/>
    </row>
    <row r="3">
      <c r="B3" s="22" t="s">
        <v>72</v>
      </c>
      <c r="C3" s="23" t="s">
        <v>73</v>
      </c>
      <c r="D3" s="24"/>
      <c r="E3" s="25"/>
    </row>
    <row r="4" ht="30.0" customHeight="1">
      <c r="B4" s="26" t="s">
        <v>74</v>
      </c>
      <c r="C4" s="27"/>
      <c r="D4" s="28" t="str">
        <f>'Module 1'!N9</f>
        <v> $ 2,250,257 </v>
      </c>
      <c r="E4" s="29" t="s">
        <v>75</v>
      </c>
    </row>
    <row r="5">
      <c r="B5" s="26" t="s">
        <v>76</v>
      </c>
      <c r="C5" s="27"/>
      <c r="D5" s="28" t="str">
        <f>SUM('Module 1'!D10:N10)</f>
        <v> $ 42,313 </v>
      </c>
      <c r="E5" s="29" t="s">
        <v>75</v>
      </c>
    </row>
    <row r="6" ht="150.0" customHeight="1">
      <c r="B6" s="26" t="s">
        <v>77</v>
      </c>
      <c r="C6" s="27"/>
      <c r="D6" s="30"/>
      <c r="E6" s="31"/>
    </row>
    <row r="7" ht="349.5" customHeight="1">
      <c r="B7" s="32" t="s">
        <v>78</v>
      </c>
      <c r="C7" s="27"/>
      <c r="D7" s="30"/>
      <c r="E7" s="31"/>
    </row>
    <row r="8" ht="150.0" customHeight="1">
      <c r="B8" s="33" t="s">
        <v>79</v>
      </c>
      <c r="C8" s="34"/>
      <c r="D8" s="35"/>
      <c r="E8" s="36"/>
    </row>
    <row r="9">
      <c r="B9" s="37" t="s">
        <v>80</v>
      </c>
      <c r="C9" s="38" t="s">
        <v>73</v>
      </c>
      <c r="D9" s="39"/>
      <c r="E9" s="40"/>
    </row>
    <row r="10" ht="49.5" customHeight="1">
      <c r="B10" s="32" t="s">
        <v>81</v>
      </c>
      <c r="C10" s="34"/>
      <c r="D10" s="35"/>
      <c r="E10" s="36"/>
    </row>
    <row r="11" ht="24.75" customHeight="1">
      <c r="B11" s="41" t="s">
        <v>82</v>
      </c>
      <c r="C11" s="42"/>
      <c r="D11" s="43" t="str">
        <f>'Module 2'!C17</f>
        <v> $ 8 </v>
      </c>
      <c r="E11" s="44" t="s">
        <v>83</v>
      </c>
    </row>
    <row r="12" ht="24.75" customHeight="1">
      <c r="B12" s="45"/>
      <c r="C12" s="27"/>
      <c r="D12" s="28" t="str">
        <f>'Module 2'!C18</f>
        <v> $ 491 </v>
      </c>
      <c r="E12" s="29" t="s">
        <v>75</v>
      </c>
    </row>
    <row r="13" ht="99.75" customHeight="1">
      <c r="B13" s="32" t="s">
        <v>84</v>
      </c>
      <c r="C13" s="27"/>
      <c r="D13" s="30"/>
      <c r="E13" s="31"/>
    </row>
    <row r="14" ht="124.5" customHeight="1">
      <c r="B14" s="32" t="s">
        <v>85</v>
      </c>
      <c r="C14" s="27"/>
      <c r="D14" s="30"/>
      <c r="E14" s="31"/>
    </row>
    <row r="15" ht="75.0" customHeight="1">
      <c r="B15" s="46" t="s">
        <v>86</v>
      </c>
      <c r="C15" s="47"/>
      <c r="D15" s="48"/>
      <c r="E15" s="49"/>
    </row>
    <row r="16">
      <c r="B16" s="2"/>
      <c r="C16" s="2"/>
    </row>
    <row r="17">
      <c r="B17" s="2"/>
      <c r="C17" s="2"/>
    </row>
    <row r="18">
      <c r="B18" s="2"/>
      <c r="C18" s="2"/>
    </row>
    <row r="19">
      <c r="B19" s="2"/>
      <c r="C19" s="2"/>
    </row>
    <row r="20">
      <c r="B20" s="2"/>
      <c r="C20" s="2"/>
    </row>
    <row r="21" ht="15.75" customHeight="1">
      <c r="B21" s="2"/>
      <c r="C21" s="2"/>
    </row>
    <row r="22" ht="15.75" customHeight="1">
      <c r="B22" s="2"/>
      <c r="C22" s="2"/>
    </row>
    <row r="23" ht="15.75" customHeight="1">
      <c r="B23" s="2"/>
      <c r="C23" s="2"/>
    </row>
    <row r="24" ht="15.75" customHeight="1">
      <c r="B24" s="2"/>
      <c r="C24" s="2"/>
    </row>
    <row r="25" ht="15.75" customHeight="1">
      <c r="B25" s="2"/>
      <c r="C25" s="2"/>
    </row>
    <row r="26" ht="15.75" customHeight="1">
      <c r="B26" s="2"/>
      <c r="C26" s="2"/>
    </row>
    <row r="27" ht="15.75" customHeight="1">
      <c r="B27" s="2"/>
      <c r="C27" s="2"/>
    </row>
    <row r="28" ht="15.75" customHeight="1">
      <c r="B28" s="2"/>
      <c r="C28" s="2"/>
    </row>
    <row r="29" ht="15.75" customHeight="1">
      <c r="B29" s="2"/>
      <c r="C29" s="2"/>
    </row>
    <row r="30" ht="15.75" customHeight="1">
      <c r="B30" s="2"/>
      <c r="C30" s="2"/>
    </row>
    <row r="31" ht="15.75" customHeight="1">
      <c r="B31" s="2"/>
      <c r="C31" s="2"/>
    </row>
    <row r="32" ht="15.75" customHeight="1">
      <c r="B32" s="2"/>
      <c r="C32" s="2"/>
    </row>
    <row r="33" ht="15.75" customHeight="1">
      <c r="B33" s="2"/>
      <c r="C33" s="2"/>
    </row>
    <row r="34" ht="15.75" customHeight="1">
      <c r="B34" s="2"/>
      <c r="C34" s="2"/>
    </row>
    <row r="35" ht="15.75" customHeight="1">
      <c r="B35" s="2"/>
      <c r="C35" s="2"/>
    </row>
    <row r="36" ht="15.75" customHeight="1">
      <c r="B36" s="2"/>
      <c r="C36" s="2"/>
    </row>
    <row r="37" ht="15.75" customHeight="1">
      <c r="B37" s="2"/>
      <c r="C37" s="2"/>
    </row>
    <row r="38" ht="15.75" customHeight="1">
      <c r="B38" s="2"/>
      <c r="C38" s="2"/>
    </row>
    <row r="39" ht="15.75" customHeight="1">
      <c r="B39" s="2"/>
      <c r="C39" s="2"/>
    </row>
    <row r="40" ht="15.75" customHeight="1">
      <c r="B40" s="2"/>
      <c r="C40" s="2"/>
    </row>
    <row r="41" ht="15.75" customHeight="1">
      <c r="B41" s="2"/>
      <c r="C41" s="2"/>
    </row>
    <row r="42" ht="15.75" customHeight="1">
      <c r="B42" s="2"/>
      <c r="C42" s="2"/>
    </row>
    <row r="43" ht="15.75" customHeight="1">
      <c r="B43" s="2"/>
      <c r="C43" s="2"/>
    </row>
    <row r="44" ht="15.75" customHeight="1">
      <c r="B44" s="2"/>
      <c r="C44" s="2"/>
    </row>
    <row r="45" ht="15.75" customHeight="1">
      <c r="B45" s="2"/>
      <c r="C45" s="2"/>
    </row>
    <row r="46" ht="15.75" customHeight="1">
      <c r="B46" s="2"/>
      <c r="C46" s="2"/>
    </row>
    <row r="47" ht="15.75" customHeight="1">
      <c r="B47" s="2"/>
      <c r="C47" s="2"/>
    </row>
    <row r="48" ht="15.75" customHeight="1">
      <c r="B48" s="2"/>
      <c r="C48" s="2"/>
    </row>
    <row r="49" ht="15.75" customHeight="1">
      <c r="B49" s="2"/>
      <c r="C49" s="2"/>
    </row>
    <row r="50" ht="15.75" customHeight="1">
      <c r="B50" s="2"/>
      <c r="C50" s="2"/>
    </row>
    <row r="51" ht="15.75" customHeight="1">
      <c r="B51" s="2"/>
      <c r="C51" s="2"/>
    </row>
    <row r="52" ht="15.75" customHeight="1">
      <c r="B52" s="2"/>
      <c r="C52" s="2"/>
    </row>
    <row r="53" ht="15.75" customHeight="1">
      <c r="B53" s="2"/>
      <c r="C53" s="2"/>
    </row>
    <row r="54" ht="15.75" customHeight="1">
      <c r="B54" s="2"/>
      <c r="C54" s="2"/>
    </row>
    <row r="55" ht="15.75" customHeight="1">
      <c r="B55" s="2"/>
      <c r="C55" s="2"/>
    </row>
    <row r="56" ht="15.75" customHeight="1">
      <c r="B56" s="2"/>
      <c r="C56" s="2"/>
    </row>
    <row r="57" ht="15.75" customHeight="1">
      <c r="B57" s="2"/>
      <c r="C57" s="2"/>
    </row>
    <row r="58" ht="15.75" customHeight="1">
      <c r="B58" s="2"/>
      <c r="C58" s="2"/>
    </row>
    <row r="59" ht="15.75" customHeight="1">
      <c r="B59" s="2"/>
      <c r="C59" s="2"/>
    </row>
    <row r="60" ht="15.75" customHeight="1">
      <c r="B60" s="2"/>
      <c r="C60" s="2"/>
    </row>
    <row r="61" ht="15.75" customHeight="1">
      <c r="B61" s="2"/>
      <c r="C61" s="2"/>
    </row>
    <row r="62" ht="15.75" customHeight="1">
      <c r="B62" s="2"/>
      <c r="C62" s="2"/>
    </row>
    <row r="63" ht="15.75" customHeight="1">
      <c r="B63" s="2"/>
      <c r="C63" s="2"/>
    </row>
    <row r="64" ht="15.75" customHeight="1">
      <c r="B64" s="2"/>
      <c r="C64" s="2"/>
    </row>
    <row r="65" ht="15.75" customHeight="1">
      <c r="B65" s="2"/>
      <c r="C65" s="2"/>
    </row>
    <row r="66" ht="15.75" customHeight="1">
      <c r="B66" s="2"/>
      <c r="C66" s="2"/>
    </row>
    <row r="67" ht="15.75" customHeight="1">
      <c r="B67" s="2"/>
      <c r="C67" s="2"/>
    </row>
    <row r="68" ht="15.75" customHeight="1">
      <c r="B68" s="2"/>
      <c r="C68" s="2"/>
    </row>
    <row r="69" ht="15.75" customHeight="1">
      <c r="B69" s="2"/>
      <c r="C69" s="2"/>
    </row>
    <row r="70" ht="15.75" customHeight="1">
      <c r="B70" s="2"/>
      <c r="C70" s="2"/>
    </row>
    <row r="71" ht="15.75" customHeight="1">
      <c r="B71" s="2"/>
      <c r="C71" s="2"/>
    </row>
    <row r="72" ht="15.75" customHeight="1">
      <c r="B72" s="2"/>
      <c r="C72" s="2"/>
    </row>
    <row r="73" ht="15.75" customHeight="1">
      <c r="B73" s="2"/>
      <c r="C73" s="2"/>
    </row>
    <row r="74" ht="15.75" customHeight="1">
      <c r="B74" s="2"/>
      <c r="C74" s="2"/>
    </row>
    <row r="75" ht="15.75" customHeight="1">
      <c r="B75" s="2"/>
      <c r="C75" s="2"/>
    </row>
    <row r="76" ht="15.75" customHeight="1">
      <c r="B76" s="2"/>
      <c r="C76" s="2"/>
    </row>
    <row r="77" ht="15.75" customHeight="1">
      <c r="B77" s="2"/>
      <c r="C77" s="2"/>
    </row>
    <row r="78" ht="15.75" customHeight="1">
      <c r="B78" s="2"/>
      <c r="C78" s="2"/>
    </row>
    <row r="79" ht="15.75" customHeight="1">
      <c r="B79" s="2"/>
      <c r="C79" s="2"/>
    </row>
    <row r="80" ht="15.75" customHeight="1">
      <c r="B80" s="2"/>
      <c r="C80" s="2"/>
    </row>
    <row r="81" ht="15.75" customHeight="1">
      <c r="B81" s="2"/>
      <c r="C81" s="2"/>
    </row>
    <row r="82" ht="15.75" customHeight="1">
      <c r="B82" s="2"/>
      <c r="C82" s="2"/>
    </row>
    <row r="83" ht="15.75" customHeight="1">
      <c r="B83" s="2"/>
      <c r="C83" s="2"/>
    </row>
    <row r="84" ht="15.75" customHeight="1">
      <c r="B84" s="2"/>
      <c r="C84" s="2"/>
    </row>
    <row r="85" ht="15.75" customHeight="1">
      <c r="B85" s="2"/>
      <c r="C85" s="2"/>
    </row>
    <row r="86" ht="15.75" customHeight="1">
      <c r="B86" s="2"/>
      <c r="C86" s="2"/>
    </row>
    <row r="87" ht="15.75" customHeight="1">
      <c r="B87" s="2"/>
      <c r="C87" s="2"/>
    </row>
    <row r="88" ht="15.75" customHeight="1">
      <c r="B88" s="2"/>
      <c r="C88" s="2"/>
    </row>
    <row r="89" ht="15.75" customHeight="1">
      <c r="B89" s="2"/>
      <c r="C89" s="2"/>
    </row>
    <row r="90" ht="15.75" customHeight="1">
      <c r="B90" s="2"/>
      <c r="C90" s="2"/>
    </row>
    <row r="91" ht="15.75" customHeight="1">
      <c r="B91" s="2"/>
      <c r="C91" s="2"/>
    </row>
    <row r="92" ht="15.75" customHeight="1">
      <c r="B92" s="2"/>
      <c r="C92" s="2"/>
    </row>
    <row r="93" ht="15.75" customHeight="1">
      <c r="B93" s="2"/>
      <c r="C93" s="2"/>
    </row>
    <row r="94" ht="15.75" customHeight="1">
      <c r="B94" s="2"/>
      <c r="C94" s="2"/>
    </row>
    <row r="95" ht="15.75" customHeight="1">
      <c r="B95" s="2"/>
      <c r="C95" s="2"/>
    </row>
    <row r="96" ht="15.75" customHeight="1">
      <c r="B96" s="2"/>
      <c r="C96" s="2"/>
    </row>
    <row r="97" ht="15.75" customHeight="1">
      <c r="B97" s="2"/>
      <c r="C97" s="2"/>
    </row>
    <row r="98" ht="15.75" customHeight="1">
      <c r="B98" s="2"/>
      <c r="C98" s="2"/>
    </row>
    <row r="99" ht="15.75" customHeight="1">
      <c r="B99" s="2"/>
      <c r="C99" s="2"/>
    </row>
    <row r="100" ht="15.75" customHeight="1">
      <c r="B100" s="2"/>
      <c r="C100" s="2"/>
    </row>
  </sheetData>
  <mergeCells count="1">
    <mergeCell ref="B11:B1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6.78"/>
    <col customWidth="1" min="2" max="2" width="22.22"/>
    <col customWidth="1" min="3" max="3" width="11.22"/>
    <col customWidth="1" min="4" max="4" width="12.22"/>
    <col customWidth="1" min="5" max="5" width="11.67"/>
    <col customWidth="1" min="6" max="6" width="10.78"/>
    <col customWidth="1" min="7" max="9" width="10.44"/>
    <col customWidth="1" min="10" max="10" width="10.89"/>
    <col customWidth="1" min="11" max="11" width="11.56"/>
    <col customWidth="1" min="12" max="12" width="11.89"/>
    <col customWidth="1" min="13" max="13" width="11.56"/>
    <col customWidth="1" min="14" max="14" width="11.89"/>
    <col customWidth="1" min="15" max="15" width="6.78"/>
    <col customWidth="1" min="16" max="16" width="19.67"/>
    <col customWidth="1" min="17" max="17" width="8.89"/>
    <col customWidth="1" min="18" max="18" width="18.22"/>
    <col customWidth="1" min="19" max="19" width="17.22"/>
    <col customWidth="1" min="20" max="21" width="16.89"/>
    <col customWidth="1" min="22" max="23" width="17.22"/>
    <col customWidth="1" min="24" max="26" width="16.89"/>
    <col customWidth="1" min="27" max="27" width="17.22"/>
    <col customWidth="1" min="28" max="28" width="16.89"/>
  </cols>
  <sheetData>
    <row r="4">
      <c r="B4" s="50" t="s">
        <v>87</v>
      </c>
      <c r="C4" s="51"/>
      <c r="D4" s="51"/>
      <c r="E4" s="51"/>
      <c r="F4" s="51"/>
      <c r="G4" s="51"/>
      <c r="H4" s="51"/>
      <c r="I4" s="51"/>
      <c r="J4" s="51"/>
      <c r="K4" s="51"/>
      <c r="L4" s="51"/>
      <c r="M4" s="51"/>
      <c r="N4" s="52"/>
      <c r="P4" s="53" t="s">
        <v>88</v>
      </c>
    </row>
    <row r="5">
      <c r="B5" s="54"/>
      <c r="C5" s="55">
        <v>2022.0</v>
      </c>
      <c r="D5" s="55">
        <v>2023.0</v>
      </c>
      <c r="E5" s="55" t="str">
        <f t="shared" ref="E5:N5" si="1">D5+1</f>
        <v>2024</v>
      </c>
      <c r="F5" s="55" t="str">
        <f t="shared" si="1"/>
        <v>2025</v>
      </c>
      <c r="G5" s="55" t="str">
        <f t="shared" si="1"/>
        <v>2026</v>
      </c>
      <c r="H5" s="55" t="str">
        <f t="shared" si="1"/>
        <v>2027</v>
      </c>
      <c r="I5" s="55" t="str">
        <f t="shared" si="1"/>
        <v>2028</v>
      </c>
      <c r="J5" s="55" t="str">
        <f t="shared" si="1"/>
        <v>2029</v>
      </c>
      <c r="K5" s="55" t="str">
        <f t="shared" si="1"/>
        <v>2030</v>
      </c>
      <c r="L5" s="55" t="str">
        <f t="shared" si="1"/>
        <v>2031</v>
      </c>
      <c r="M5" s="55" t="str">
        <f t="shared" si="1"/>
        <v>2032</v>
      </c>
      <c r="N5" s="56" t="str">
        <f t="shared" si="1"/>
        <v>2033</v>
      </c>
      <c r="Q5" s="57" t="s">
        <v>89</v>
      </c>
      <c r="R5" s="58">
        <v>2.0</v>
      </c>
      <c r="S5" s="58">
        <v>3.0</v>
      </c>
      <c r="T5" s="58">
        <v>3.0</v>
      </c>
      <c r="U5" s="58">
        <v>3.0</v>
      </c>
      <c r="V5" s="58">
        <v>3.0</v>
      </c>
      <c r="W5" s="58">
        <v>3.0</v>
      </c>
      <c r="X5" s="58">
        <v>4.0</v>
      </c>
      <c r="Y5" s="58">
        <v>4.0</v>
      </c>
      <c r="Z5" s="58">
        <v>4.0</v>
      </c>
      <c r="AA5" s="58">
        <v>4.0</v>
      </c>
      <c r="AB5" s="58">
        <v>4.0</v>
      </c>
    </row>
    <row r="6">
      <c r="B6" s="59" t="s">
        <v>90</v>
      </c>
      <c r="D6" s="60" t="str">
        <f t="shared" ref="D6:N6" si="2">SUM(R53:R58)/$C$45</f>
        <v> $ 328,625 </v>
      </c>
      <c r="E6" s="60" t="str">
        <f t="shared" si="2"/>
        <v> $ 405,933 </v>
      </c>
      <c r="F6" s="60" t="str">
        <f t="shared" si="2"/>
        <v> $ 420,517 </v>
      </c>
      <c r="G6" s="60" t="str">
        <f t="shared" si="2"/>
        <v> $ 459,950 </v>
      </c>
      <c r="H6" s="60" t="str">
        <f t="shared" si="2"/>
        <v> $ 483,348 </v>
      </c>
      <c r="I6" s="60" t="str">
        <f t="shared" si="2"/>
        <v> $ 507,837 </v>
      </c>
      <c r="J6" s="60" t="str">
        <f t="shared" si="2"/>
        <v> $ 507,184 </v>
      </c>
      <c r="K6" s="60" t="str">
        <f t="shared" si="2"/>
        <v> $ 519,069 </v>
      </c>
      <c r="L6" s="60" t="str">
        <f t="shared" si="2"/>
        <v> $ 531,183 </v>
      </c>
      <c r="M6" s="60" t="str">
        <f t="shared" si="2"/>
        <v> $ 543,531 </v>
      </c>
      <c r="N6" s="61" t="str">
        <f t="shared" si="2"/>
        <v> $ 556,118 </v>
      </c>
      <c r="P6" s="53"/>
      <c r="Q6" s="62" t="s">
        <v>91</v>
      </c>
      <c r="R6" s="62">
        <v>2023.0</v>
      </c>
      <c r="S6" s="62" t="str">
        <f t="shared" ref="S6:AB6" si="3">R6+1</f>
        <v>2024</v>
      </c>
      <c r="T6" s="62" t="str">
        <f t="shared" si="3"/>
        <v>2025</v>
      </c>
      <c r="U6" s="62" t="str">
        <f t="shared" si="3"/>
        <v>2026</v>
      </c>
      <c r="V6" s="62" t="str">
        <f t="shared" si="3"/>
        <v>2027</v>
      </c>
      <c r="W6" s="62" t="str">
        <f t="shared" si="3"/>
        <v>2028</v>
      </c>
      <c r="X6" s="62" t="str">
        <f t="shared" si="3"/>
        <v>2029</v>
      </c>
      <c r="Y6" s="62" t="str">
        <f t="shared" si="3"/>
        <v>2030</v>
      </c>
      <c r="Z6" s="62" t="str">
        <f t="shared" si="3"/>
        <v>2031</v>
      </c>
      <c r="AA6" s="62" t="str">
        <f t="shared" si="3"/>
        <v>2032</v>
      </c>
      <c r="AB6" s="62" t="str">
        <f t="shared" si="3"/>
        <v>2033</v>
      </c>
    </row>
    <row r="7">
      <c r="B7" s="63" t="s">
        <v>92</v>
      </c>
      <c r="D7" s="60" t="str">
        <f t="shared" ref="D7:N7" si="4">D6*D8</f>
        <v> $ 49,294 </v>
      </c>
      <c r="E7" s="60" t="str">
        <f t="shared" si="4"/>
        <v> $ 77,127 </v>
      </c>
      <c r="F7" s="60" t="str">
        <f t="shared" si="4"/>
        <v> $ 79,898 </v>
      </c>
      <c r="G7" s="60" t="str">
        <f t="shared" si="4"/>
        <v> $ 87,390 </v>
      </c>
      <c r="H7" s="60" t="str">
        <f t="shared" si="4"/>
        <v> $ 91,836 </v>
      </c>
      <c r="I7" s="60" t="str">
        <f t="shared" si="4"/>
        <v> $ 96,489 </v>
      </c>
      <c r="J7" s="60" t="str">
        <f t="shared" si="4"/>
        <v> $ 152,155 </v>
      </c>
      <c r="K7" s="60" t="str">
        <f t="shared" si="4"/>
        <v> $ 155,721 </v>
      </c>
      <c r="L7" s="60" t="str">
        <f t="shared" si="4"/>
        <v> $ 159,355 </v>
      </c>
      <c r="M7" s="60" t="str">
        <f t="shared" si="4"/>
        <v> $ 163,059 </v>
      </c>
      <c r="N7" s="61" t="str">
        <f t="shared" si="4"/>
        <v> $ 166,835 </v>
      </c>
      <c r="Q7" t="s">
        <v>93</v>
      </c>
      <c r="R7" s="60" t="str">
        <f>VLOOKUP($Q7,Assumptions!$C$19:$F$24,R$5,FALSE)*D17</f>
        <v> $ 225,792,000,000 </v>
      </c>
      <c r="S7" s="60" t="str">
        <f>R7*(1+VLOOKUP($Q7,Assumptions!$C$19:$F$24,S$5,FALSE))*E$23</f>
        <v> $ 230,279,616,000 </v>
      </c>
      <c r="T7" s="60" t="str">
        <f>S7*(1+VLOOKUP($Q7,Assumptions!$C$19:$F$24,T$5,FALSE))*F$23</f>
        <v> $ 234,856,423,368 </v>
      </c>
      <c r="U7" s="60" t="str">
        <f>T7*(1+VLOOKUP($Q7,Assumptions!$C$19:$F$24,U$5,FALSE))*G$23</f>
        <v> $ 243,135,112,292 </v>
      </c>
      <c r="V7" s="60" t="str">
        <f>U7*(1+VLOOKUP($Q7,Assumptions!$C$19:$F$24,V$5,FALSE))*H$23</f>
        <v> $ 251,705,625,000 </v>
      </c>
      <c r="W7" s="60" t="str">
        <f>V7*(1+VLOOKUP($Q7,Assumptions!$C$19:$F$24,W$5,FALSE))*I$23</f>
        <v> $ 260,578,248,281 </v>
      </c>
      <c r="X7" s="60" t="str">
        <f>W7*(1+VLOOKUP($Q7,Assumptions!$C$19:$F$24,X$5,FALSE))*J$23</f>
        <v> $ 263,164,487,395 </v>
      </c>
      <c r="Y7" s="60" t="str">
        <f>X7*(1+VLOOKUP($Q7,Assumptions!$C$19:$F$24,Y$5,FALSE))*K$23</f>
        <v> $ 265,776,394,933 </v>
      </c>
      <c r="Z7" s="60" t="str">
        <f>Y7*(1+VLOOKUP($Q7,Assumptions!$C$19:$F$24,Z$5,FALSE))*L$23</f>
        <v> $ 268,414,225,653 </v>
      </c>
      <c r="AA7" s="60" t="str">
        <f>Z7*(1+VLOOKUP($Q7,Assumptions!$C$19:$F$24,AA$5,FALSE))*M$23</f>
        <v> $ 271,078,236,842 </v>
      </c>
      <c r="AB7" s="60" t="str">
        <f>AA7*(1+VLOOKUP($Q7,Assumptions!$C$19:$F$24,AB$5,FALSE))*N$23</f>
        <v> $ 273,768,688,343 </v>
      </c>
    </row>
    <row r="8">
      <c r="B8" s="64" t="s">
        <v>94</v>
      </c>
      <c r="D8" s="65">
        <v>0.15</v>
      </c>
      <c r="E8" s="65">
        <v>0.19</v>
      </c>
      <c r="F8" s="65">
        <v>0.19</v>
      </c>
      <c r="G8" s="65">
        <v>0.19</v>
      </c>
      <c r="H8" s="65">
        <v>0.19</v>
      </c>
      <c r="I8" s="65">
        <v>0.19</v>
      </c>
      <c r="J8" s="65">
        <v>0.3</v>
      </c>
      <c r="K8" s="65">
        <v>0.3</v>
      </c>
      <c r="L8" s="65">
        <v>0.3</v>
      </c>
      <c r="M8" s="65">
        <v>0.3</v>
      </c>
      <c r="N8" s="66">
        <v>0.3</v>
      </c>
      <c r="Q8" t="s">
        <v>95</v>
      </c>
      <c r="R8" s="60" t="str">
        <f>VLOOKUP($Q8,Assumptions!$C$19:$F$24,R$5,FALSE)*D18</f>
        <v> $ 599,760,000,000 </v>
      </c>
      <c r="S8" s="60" t="str">
        <f>R8*(1+VLOOKUP($Q8,Assumptions!$C$19:$F$24,S$5,FALSE))*E$23</f>
        <v> $ 611,680,230,000 </v>
      </c>
      <c r="T8" s="60" t="str">
        <f>S8*(1+VLOOKUP($Q8,Assumptions!$C$19:$F$24,T$5,FALSE))*F$23</f>
        <v> $ 623,837,374,571 </v>
      </c>
      <c r="U8" s="60" t="str">
        <f>T8*(1+VLOOKUP($Q8,Assumptions!$C$19:$F$24,U$5,FALSE))*G$23</f>
        <v> $ 645,827,642,025 </v>
      </c>
      <c r="V8" s="60" t="str">
        <f>U8*(1+VLOOKUP($Q8,Assumptions!$C$19:$F$24,V$5,FALSE))*H$23</f>
        <v> $ 668,593,066,406 </v>
      </c>
      <c r="W8" s="60" t="str">
        <f>V8*(1+VLOOKUP($Q8,Assumptions!$C$19:$F$24,W$5,FALSE))*I$23</f>
        <v> $ 692,160,971,997 </v>
      </c>
      <c r="X8" s="60" t="str">
        <f>W8*(1+VLOOKUP($Q8,Assumptions!$C$19:$F$24,X$5,FALSE))*J$23</f>
        <v> $ 699,030,669,644 </v>
      </c>
      <c r="Y8" s="60" t="str">
        <f>X8*(1+VLOOKUP($Q8,Assumptions!$C$19:$F$24,Y$5,FALSE))*K$23</f>
        <v> $ 705,968,549,040 </v>
      </c>
      <c r="Z8" s="60" t="str">
        <f>Y8*(1+VLOOKUP($Q8,Assumptions!$C$19:$F$24,Z$5,FALSE))*L$23</f>
        <v> $ 712,975,286,890 </v>
      </c>
      <c r="AA8" s="60" t="str">
        <f>Z8*(1+VLOOKUP($Q8,Assumptions!$C$19:$F$24,AA$5,FALSE))*M$23</f>
        <v> $ 720,051,566,612 </v>
      </c>
      <c r="AB8" s="60" t="str">
        <f>AA8*(1+VLOOKUP($Q8,Assumptions!$C$19:$F$24,AB$5,FALSE))*N$23</f>
        <v> $ 727,198,078,411 </v>
      </c>
    </row>
    <row r="9">
      <c r="B9" s="67" t="s">
        <v>96</v>
      </c>
      <c r="C9" s="68">
        <v>400000.0</v>
      </c>
      <c r="D9" s="68" t="str">
        <f t="shared" ref="D9:N9" si="5">C9*(1+$C$28)+D7</f>
        <v> $ 469,294 </v>
      </c>
      <c r="E9" s="68" t="str">
        <f t="shared" si="5"/>
        <v> $ 569,886 </v>
      </c>
      <c r="F9" s="68" t="str">
        <f t="shared" si="5"/>
        <v> $ 678,278 </v>
      </c>
      <c r="G9" s="68" t="str">
        <f t="shared" si="5"/>
        <v> $ 799,582 </v>
      </c>
      <c r="H9" s="68" t="str">
        <f t="shared" si="5"/>
        <v> $ 931,398 </v>
      </c>
      <c r="I9" s="68" t="str">
        <f t="shared" si="5"/>
        <v> $ 1,074,457 </v>
      </c>
      <c r="J9" s="68" t="str">
        <f t="shared" si="5"/>
        <v> $ 1,280,335 </v>
      </c>
      <c r="K9" s="68" t="str">
        <f t="shared" si="5"/>
        <v> $ 1,500,072 </v>
      </c>
      <c r="L9" s="68" t="str">
        <f t="shared" si="5"/>
        <v> $ 1,734,430 </v>
      </c>
      <c r="M9" s="68" t="str">
        <f t="shared" si="5"/>
        <v> $ 1,984,211 </v>
      </c>
      <c r="N9" s="69" t="str">
        <f t="shared" si="5"/>
        <v> $ 2,250,257 </v>
      </c>
      <c r="Q9" t="s">
        <v>97</v>
      </c>
      <c r="R9" s="60" t="str">
        <f>VLOOKUP($Q9,Assumptions!$C$19:$F$24,R$5,FALSE)*D19</f>
        <v> $ 1,197,000,000,000 </v>
      </c>
      <c r="S9" s="60" t="str">
        <f>R9*(1+VLOOKUP($Q9,Assumptions!$C$19:$F$24,S$5,FALSE))*E$23</f>
        <v> $ 1,220,790,375,000 </v>
      </c>
      <c r="T9" s="60" t="str">
        <f>S9*(1+VLOOKUP($Q9,Assumptions!$C$19:$F$24,T$5,FALSE))*F$23</f>
        <v> $ 1,245,053,583,703 </v>
      </c>
      <c r="U9" s="60" t="str">
        <f>T9*(1+VLOOKUP($Q9,Assumptions!$C$19:$F$24,U$5,FALSE))*G$23</f>
        <v> $ 1,288,941,722,529 </v>
      </c>
      <c r="V9" s="60" t="str">
        <f>U9*(1+VLOOKUP($Q9,Assumptions!$C$19:$F$24,V$5,FALSE))*H$23</f>
        <v> $ 1,334,376,918,248 </v>
      </c>
      <c r="W9" s="60" t="str">
        <f>V9*(1+VLOOKUP($Q9,Assumptions!$C$19:$F$24,W$5,FALSE))*I$23</f>
        <v> $ 1,381,413,704,616 </v>
      </c>
      <c r="X9" s="60" t="str">
        <f>W9*(1+VLOOKUP($Q9,Assumptions!$C$19:$F$24,X$5,FALSE))*J$23</f>
        <v> $ 1,395,124,235,634 </v>
      </c>
      <c r="Y9" s="60" t="str">
        <f>X9*(1+VLOOKUP($Q9,Assumptions!$C$19:$F$24,Y$5,FALSE))*K$23</f>
        <v> $ 1,408,970,843,673 </v>
      </c>
      <c r="Z9" s="60" t="str">
        <f>Y9*(1+VLOOKUP($Q9,Assumptions!$C$19:$F$24,Z$5,FALSE))*L$23</f>
        <v> $ 1,422,954,879,296 </v>
      </c>
      <c r="AA9" s="60" t="str">
        <f>Z9*(1+VLOOKUP($Q9,Assumptions!$C$19:$F$24,AA$5,FALSE))*M$23</f>
        <v> $ 1,437,077,706,473 </v>
      </c>
      <c r="AB9" s="60" t="str">
        <f>AA9*(1+VLOOKUP($Q9,Assumptions!$C$19:$F$24,AB$5,FALSE))*N$23</f>
        <v> $ 1,451,340,702,710 </v>
      </c>
    </row>
    <row r="10">
      <c r="B10" s="59" t="s">
        <v>98</v>
      </c>
      <c r="D10" s="60" t="str">
        <f t="shared" ref="D10:N10" si="6">D11*D9</f>
        <v> $ 1,877 </v>
      </c>
      <c r="E10" s="60" t="str">
        <f t="shared" si="6"/>
        <v> $ 1,995 </v>
      </c>
      <c r="F10" s="60" t="str">
        <f t="shared" si="6"/>
        <v> $ 2,374 </v>
      </c>
      <c r="G10" s="60" t="str">
        <f t="shared" si="6"/>
        <v> $ 2,799 </v>
      </c>
      <c r="H10" s="60" t="str">
        <f t="shared" si="6"/>
        <v> $ 3,260 </v>
      </c>
      <c r="I10" s="60" t="str">
        <f t="shared" si="6"/>
        <v> $ 3,761 </v>
      </c>
      <c r="J10" s="60" t="str">
        <f t="shared" si="6"/>
        <v> $ 3,841 </v>
      </c>
      <c r="K10" s="60" t="str">
        <f t="shared" si="6"/>
        <v> $ 4,500 </v>
      </c>
      <c r="L10" s="60" t="str">
        <f t="shared" si="6"/>
        <v> $ 5,203 </v>
      </c>
      <c r="M10" s="60" t="str">
        <f t="shared" si="6"/>
        <v> $ 5,953 </v>
      </c>
      <c r="N10" s="61" t="str">
        <f t="shared" si="6"/>
        <v> $ 6,751 </v>
      </c>
      <c r="Q10" t="s">
        <v>99</v>
      </c>
      <c r="R10" s="60" t="str">
        <f>VLOOKUP($Q10,Assumptions!$C$19:$F$24,R$5,FALSE)*D20</f>
        <v> $ 1,344,000,000,000 </v>
      </c>
      <c r="S10" s="60" t="str">
        <f>R10*(1+VLOOKUP($Q10,Assumptions!$C$19:$F$24,S$5,FALSE))*E$23</f>
        <v> $ 1,370,712,000,000 </v>
      </c>
      <c r="T10" s="60" t="str">
        <f>S10*(1+VLOOKUP($Q10,Assumptions!$C$19:$F$24,T$5,FALSE))*F$23</f>
        <v> $ 1,397,954,901,000 </v>
      </c>
      <c r="U10" s="60" t="str">
        <f>T10*(1+VLOOKUP($Q10,Assumptions!$C$19:$F$24,U$5,FALSE))*G$23</f>
        <v> $ 1,447,232,811,260 </v>
      </c>
      <c r="V10" s="60" t="str">
        <f>U10*(1+VLOOKUP($Q10,Assumptions!$C$19:$F$24,V$5,FALSE))*H$23</f>
        <v> $ 1,498,247,767,857 </v>
      </c>
      <c r="W10" s="60" t="str">
        <f>V10*(1+VLOOKUP($Q10,Assumptions!$C$19:$F$24,W$5,FALSE))*I$23</f>
        <v> $ 1,551,061,001,674 </v>
      </c>
      <c r="X10" s="60" t="str">
        <f>W10*(1+VLOOKUP($Q10,Assumptions!$C$19:$F$24,X$5,FALSE))*J$23</f>
        <v> $ 1,566,455,282,116 </v>
      </c>
      <c r="Y10" s="60" t="str">
        <f>X10*(1+VLOOKUP($Q10,Assumptions!$C$19:$F$24,Y$5,FALSE))*K$23</f>
        <v> $ 1,582,002,350,791 </v>
      </c>
      <c r="Z10" s="60" t="str">
        <f>Y10*(1+VLOOKUP($Q10,Assumptions!$C$19:$F$24,Z$5,FALSE))*L$23</f>
        <v> $ 1,597,703,724,122 </v>
      </c>
      <c r="AA10" s="60" t="str">
        <f>Z10*(1+VLOOKUP($Q10,Assumptions!$C$19:$F$24,AA$5,FALSE))*M$23</f>
        <v> $ 1,613,560,933,584 </v>
      </c>
      <c r="AB10" s="60" t="str">
        <f>AA10*(1+VLOOKUP($Q10,Assumptions!$C$19:$F$24,AB$5,FALSE))*N$23</f>
        <v> $ 1,629,575,525,850 </v>
      </c>
    </row>
    <row r="11">
      <c r="B11" s="64" t="s">
        <v>100</v>
      </c>
      <c r="D11" s="65" t="str">
        <f>D31</f>
        <v>0.40%</v>
      </c>
      <c r="E11" s="65" t="str">
        <f t="shared" ref="E11:I11" si="7">$E$31</f>
        <v>0.35%</v>
      </c>
      <c r="F11" s="65" t="str">
        <f t="shared" si="7"/>
        <v>0.35%</v>
      </c>
      <c r="G11" s="65" t="str">
        <f t="shared" si="7"/>
        <v>0.35%</v>
      </c>
      <c r="H11" s="65" t="str">
        <f t="shared" si="7"/>
        <v>0.35%</v>
      </c>
      <c r="I11" s="65" t="str">
        <f t="shared" si="7"/>
        <v>0.35%</v>
      </c>
      <c r="J11" s="65" t="str">
        <f t="shared" ref="J11:N11" si="8">$F$31</f>
        <v>0.30%</v>
      </c>
      <c r="K11" s="65" t="str">
        <f t="shared" si="8"/>
        <v>0.30%</v>
      </c>
      <c r="L11" s="65" t="str">
        <f t="shared" si="8"/>
        <v>0.30%</v>
      </c>
      <c r="M11" s="65" t="str">
        <f t="shared" si="8"/>
        <v>0.30%</v>
      </c>
      <c r="N11" s="66" t="str">
        <f t="shared" si="8"/>
        <v>0.30%</v>
      </c>
      <c r="Q11" t="s">
        <v>101</v>
      </c>
      <c r="R11" s="60" t="str">
        <f>VLOOKUP($Q11,Assumptions!$C$19:$F$24,R$5,FALSE)*D21</f>
        <v> $ 1,394,400,000,000 </v>
      </c>
      <c r="S11" s="60" t="str">
        <f>R11*(1+VLOOKUP($Q11,Assumptions!$C$19:$F$24,S$5,FALSE))*E$23</f>
        <v> $ 1,422,113,700,000 </v>
      </c>
      <c r="T11" s="60" t="str">
        <f>S11*(1+VLOOKUP($Q11,Assumptions!$C$19:$F$24,T$5,FALSE))*F$23</f>
        <v> $ 1,450,378,209,788 </v>
      </c>
      <c r="U11" s="60" t="str">
        <f>T11*(1+VLOOKUP($Q11,Assumptions!$C$19:$F$24,U$5,FALSE))*G$23</f>
        <v> $ 1,501,504,041,683 </v>
      </c>
      <c r="V11" s="60" t="str">
        <f>U11*(1+VLOOKUP($Q11,Assumptions!$C$19:$F$24,V$5,FALSE))*H$23</f>
        <v> $ 1,554,432,059,152 </v>
      </c>
      <c r="W11" s="60" t="str">
        <f>V11*(1+VLOOKUP($Q11,Assumptions!$C$19:$F$24,W$5,FALSE))*I$23</f>
        <v> $ 1,609,225,789,237 </v>
      </c>
      <c r="X11" s="60" t="str">
        <f>W11*(1+VLOOKUP($Q11,Assumptions!$C$19:$F$24,X$5,FALSE))*J$23</f>
        <v> $ 1,625,197,355,195 </v>
      </c>
      <c r="Y11" s="60" t="str">
        <f>X11*(1+VLOOKUP($Q11,Assumptions!$C$19:$F$24,Y$5,FALSE))*K$23</f>
        <v> $ 1,641,327,438,945 </v>
      </c>
      <c r="Z11" s="60" t="str">
        <f>Y11*(1+VLOOKUP($Q11,Assumptions!$C$19:$F$24,Z$5,FALSE))*L$23</f>
        <v> $ 1,657,617,613,777 </v>
      </c>
      <c r="AA11" s="60" t="str">
        <f>Z11*(1+VLOOKUP($Q11,Assumptions!$C$19:$F$24,AA$5,FALSE))*M$23</f>
        <v> $ 1,674,069,468,594 </v>
      </c>
      <c r="AB11" s="60" t="str">
        <f>AA11*(1+VLOOKUP($Q11,Assumptions!$C$19:$F$24,AB$5,FALSE))*N$23</f>
        <v> $ 1,690,684,608,069 </v>
      </c>
    </row>
    <row r="12">
      <c r="B12" s="70"/>
      <c r="C12" s="71"/>
      <c r="D12" s="71"/>
      <c r="E12" s="71"/>
      <c r="F12" s="71"/>
      <c r="G12" s="71"/>
      <c r="H12" s="71"/>
      <c r="I12" s="71"/>
      <c r="J12" s="71"/>
      <c r="K12" s="71"/>
      <c r="L12" s="71"/>
      <c r="M12" s="71"/>
      <c r="N12" s="72"/>
      <c r="Q12" t="s">
        <v>102</v>
      </c>
      <c r="R12" s="60" t="str">
        <f>VLOOKUP($Q12,Assumptions!$C$19:$F$24,R$5,FALSE)*D22</f>
        <v> $ 766,080,000,000 </v>
      </c>
      <c r="S12" s="60" t="str">
        <f>R12*(1+VLOOKUP($Q12,Assumptions!$C$19:$F$24,S$5,FALSE))*E$23</f>
        <v> $ 781,305,840,000 </v>
      </c>
      <c r="T12" s="60" t="str">
        <f>S12*(1+VLOOKUP($Q12,Assumptions!$C$19:$F$24,T$5,FALSE))*F$23</f>
        <v> $ 796,834,293,570 </v>
      </c>
      <c r="U12" s="60" t="str">
        <f>T12*(1+VLOOKUP($Q12,Assumptions!$C$19:$F$24,U$5,FALSE))*G$23</f>
        <v> $ 824,922,702,418 </v>
      </c>
      <c r="V12" s="60" t="str">
        <f>U12*(1+VLOOKUP($Q12,Assumptions!$C$19:$F$24,V$5,FALSE))*H$23</f>
        <v> $ 854,001,227,679 </v>
      </c>
      <c r="W12" s="60" t="str">
        <f>V12*(1+VLOOKUP($Q12,Assumptions!$C$19:$F$24,W$5,FALSE))*I$23</f>
        <v> $ 884,104,770,954 </v>
      </c>
      <c r="X12" s="60" t="str">
        <f>W12*(1+VLOOKUP($Q12,Assumptions!$C$19:$F$24,X$5,FALSE))*J$23</f>
        <v> $ 892,879,510,806 </v>
      </c>
      <c r="Y12" s="60" t="str">
        <f>X12*(1+VLOOKUP($Q12,Assumptions!$C$19:$F$24,Y$5,FALSE))*K$23</f>
        <v> $ 901,741,339,951 </v>
      </c>
      <c r="Z12" s="60" t="str">
        <f>Y12*(1+VLOOKUP($Q12,Assumptions!$C$19:$F$24,Z$5,FALSE))*L$23</f>
        <v> $ 910,691,122,750 </v>
      </c>
      <c r="AA12" s="60" t="str">
        <f>Z12*(1+VLOOKUP($Q12,Assumptions!$C$19:$F$24,AA$5,FALSE))*M$23</f>
        <v> $ 919,729,732,143 </v>
      </c>
      <c r="AB12" s="60" t="str">
        <f>AA12*(1+VLOOKUP($Q12,Assumptions!$C$19:$F$24,AB$5,FALSE))*N$23</f>
        <v> $ 928,858,049,735 </v>
      </c>
    </row>
    <row r="13">
      <c r="Q13" s="73" t="s">
        <v>103</v>
      </c>
      <c r="R13" s="74" t="str">
        <f t="shared" ref="R13:AB13" si="9">SUM(R7:R12)</f>
        <v> $ 5,527,032,000,000 </v>
      </c>
      <c r="S13" s="74" t="str">
        <f t="shared" si="9"/>
        <v> $ 5,636,881,761,000 </v>
      </c>
      <c r="T13" s="74" t="str">
        <f t="shared" si="9"/>
        <v> $ 5,748,914,786,000 </v>
      </c>
      <c r="U13" s="74" t="str">
        <f t="shared" si="9"/>
        <v> $ 5,951,564,032,206 </v>
      </c>
      <c r="V13" s="74" t="str">
        <f t="shared" si="9"/>
        <v> $ 6,161,356,664,342 </v>
      </c>
      <c r="W13" s="74" t="str">
        <f t="shared" si="9"/>
        <v> $ 6,378,544,486,760 </v>
      </c>
      <c r="X13" s="74" t="str">
        <f t="shared" si="9"/>
        <v> $ 6,441,851,540,791 </v>
      </c>
      <c r="Y13" s="74" t="str">
        <f t="shared" si="9"/>
        <v> $ 6,505,786,917,333 </v>
      </c>
      <c r="Z13" s="74" t="str">
        <f t="shared" si="9"/>
        <v> $ 6,570,356,852,488 </v>
      </c>
      <c r="AA13" s="74" t="str">
        <f t="shared" si="9"/>
        <v> $ 6,635,567,644,249 </v>
      </c>
      <c r="AB13" s="74" t="str">
        <f t="shared" si="9"/>
        <v> $ 6,701,425,653,118 </v>
      </c>
    </row>
    <row r="15">
      <c r="B15" s="75" t="s">
        <v>104</v>
      </c>
      <c r="C15" s="7"/>
      <c r="D15" s="7"/>
      <c r="E15" s="7"/>
      <c r="F15" s="7"/>
      <c r="G15" s="7"/>
      <c r="H15" s="7"/>
      <c r="I15" s="7"/>
      <c r="J15" s="7"/>
      <c r="K15" s="7"/>
      <c r="L15" s="7"/>
      <c r="M15" s="7"/>
      <c r="N15" s="8"/>
    </row>
    <row r="16">
      <c r="B16" s="76" t="s">
        <v>91</v>
      </c>
      <c r="C16" s="77" t="s">
        <v>105</v>
      </c>
      <c r="D16" s="55">
        <v>2023.0</v>
      </c>
      <c r="E16" s="55" t="str">
        <f t="shared" ref="E16:N16" si="10">D16+1</f>
        <v>2024</v>
      </c>
      <c r="F16" s="55" t="str">
        <f t="shared" si="10"/>
        <v>2025</v>
      </c>
      <c r="G16" s="55" t="str">
        <f t="shared" si="10"/>
        <v>2026</v>
      </c>
      <c r="H16" s="55" t="str">
        <f t="shared" si="10"/>
        <v>2027</v>
      </c>
      <c r="I16" s="55" t="str">
        <f t="shared" si="10"/>
        <v>2028</v>
      </c>
      <c r="J16" s="55" t="str">
        <f t="shared" si="10"/>
        <v>2029</v>
      </c>
      <c r="K16" s="55" t="str">
        <f t="shared" si="10"/>
        <v>2030</v>
      </c>
      <c r="L16" s="55" t="str">
        <f t="shared" si="10"/>
        <v>2031</v>
      </c>
      <c r="M16" s="55" t="str">
        <f t="shared" si="10"/>
        <v>2032</v>
      </c>
      <c r="N16" s="55" t="str">
        <f t="shared" si="10"/>
        <v>2033</v>
      </c>
      <c r="P16" s="53" t="s">
        <v>106</v>
      </c>
      <c r="Q16" s="57" t="s">
        <v>107</v>
      </c>
      <c r="R16" s="58">
        <v>2.0</v>
      </c>
      <c r="S16" s="58">
        <v>3.0</v>
      </c>
      <c r="T16" s="58">
        <v>3.0</v>
      </c>
      <c r="U16" s="58">
        <v>4.0</v>
      </c>
      <c r="V16" s="58">
        <v>4.0</v>
      </c>
      <c r="W16" s="58">
        <v>4.0</v>
      </c>
      <c r="X16" s="58">
        <v>5.0</v>
      </c>
      <c r="Y16" s="58">
        <v>5.0</v>
      </c>
      <c r="Z16" s="58">
        <v>5.0</v>
      </c>
      <c r="AA16" s="58">
        <v>5.0</v>
      </c>
      <c r="AB16" s="58">
        <v>5.0</v>
      </c>
    </row>
    <row r="17">
      <c r="B17" s="78" t="s">
        <v>93</v>
      </c>
      <c r="C17" s="79">
        <v>0.08</v>
      </c>
      <c r="D17" s="80" t="str">
        <f>C17*Assumptions!$D$5*$C$25*C26</f>
        <v>  5,376,000 </v>
      </c>
      <c r="E17" s="81" t="str">
        <f t="shared" ref="E17:N17" si="11">D17*E$23</f>
        <v>  5,349,120 </v>
      </c>
      <c r="F17" s="81" t="str">
        <f t="shared" si="11"/>
        <v>  5,322,374 </v>
      </c>
      <c r="G17" s="81" t="str">
        <f t="shared" si="11"/>
        <v>  5,375,598 </v>
      </c>
      <c r="H17" s="81" t="str">
        <f t="shared" si="11"/>
        <v>  5,429,354 </v>
      </c>
      <c r="I17" s="81" t="str">
        <f t="shared" si="11"/>
        <v>  5,483,648 </v>
      </c>
      <c r="J17" s="81" t="str">
        <f t="shared" si="11"/>
        <v>  5,456,229 </v>
      </c>
      <c r="K17" s="81" t="str">
        <f t="shared" si="11"/>
        <v>  5,428,948 </v>
      </c>
      <c r="L17" s="81" t="str">
        <f t="shared" si="11"/>
        <v>  5,401,804 </v>
      </c>
      <c r="M17" s="81" t="str">
        <f t="shared" si="11"/>
        <v>  5,374,795 </v>
      </c>
      <c r="N17" s="81" t="str">
        <f t="shared" si="11"/>
        <v>  5,347,921 </v>
      </c>
      <c r="Q17" s="62" t="s">
        <v>91</v>
      </c>
      <c r="R17" s="62">
        <v>2023.0</v>
      </c>
      <c r="S17" s="62" t="str">
        <f t="shared" ref="S17:AB17" si="12">R17+1</f>
        <v>2024</v>
      </c>
      <c r="T17" s="62" t="str">
        <f t="shared" si="12"/>
        <v>2025</v>
      </c>
      <c r="U17" s="62" t="str">
        <f t="shared" si="12"/>
        <v>2026</v>
      </c>
      <c r="V17" s="62" t="str">
        <f t="shared" si="12"/>
        <v>2027</v>
      </c>
      <c r="W17" s="62" t="str">
        <f t="shared" si="12"/>
        <v>2028</v>
      </c>
      <c r="X17" s="62" t="str">
        <f t="shared" si="12"/>
        <v>2029</v>
      </c>
      <c r="Y17" s="62" t="str">
        <f t="shared" si="12"/>
        <v>2030</v>
      </c>
      <c r="Z17" s="62" t="str">
        <f t="shared" si="12"/>
        <v>2031</v>
      </c>
      <c r="AA17" s="62" t="str">
        <f t="shared" si="12"/>
        <v>2032</v>
      </c>
      <c r="AB17" s="62" t="str">
        <f t="shared" si="12"/>
        <v>2033</v>
      </c>
    </row>
    <row r="18">
      <c r="B18" s="78" t="s">
        <v>95</v>
      </c>
      <c r="C18" s="79">
        <v>0.14</v>
      </c>
      <c r="D18" s="80" t="str">
        <f>C18*Assumptions!$D$5*$C$25</f>
        <v>  11,760,000 </v>
      </c>
      <c r="E18" s="81" t="str">
        <f t="shared" ref="E18:N18" si="13">D18*E$23</f>
        <v>  11,701,200 </v>
      </c>
      <c r="F18" s="81" t="str">
        <f t="shared" si="13"/>
        <v>  11,642,694 </v>
      </c>
      <c r="G18" s="81" t="str">
        <f t="shared" si="13"/>
        <v>  11,759,121 </v>
      </c>
      <c r="H18" s="81" t="str">
        <f t="shared" si="13"/>
        <v>  11,876,712 </v>
      </c>
      <c r="I18" s="81" t="str">
        <f t="shared" si="13"/>
        <v>  11,995,479 </v>
      </c>
      <c r="J18" s="81" t="str">
        <f t="shared" si="13"/>
        <v>  11,935,502 </v>
      </c>
      <c r="K18" s="81" t="str">
        <f t="shared" si="13"/>
        <v>  11,875,824 </v>
      </c>
      <c r="L18" s="81" t="str">
        <f t="shared" si="13"/>
        <v>  11,816,445 </v>
      </c>
      <c r="M18" s="81" t="str">
        <f t="shared" si="13"/>
        <v>  11,757,363 </v>
      </c>
      <c r="N18" s="81" t="str">
        <f t="shared" si="13"/>
        <v>  11,698,576 </v>
      </c>
      <c r="Q18" t="s">
        <v>93</v>
      </c>
      <c r="R18" s="60" t="str">
        <f>R7*VLOOKUP($Q18,Assumptions!$C$28:$G$33,R$16,FALSE)*(1+$C$27)^(R$17-$R$17)</f>
        <v> $ 13,547,520,000 </v>
      </c>
      <c r="S18" s="60" t="str">
        <f>S7*VLOOKUP($Q18,Assumptions!$C$28:$G$33,S$16,FALSE)*(1+$C$27)^(S$17-$R$17)</f>
        <v> $ 16,280,768,851 </v>
      </c>
      <c r="T18" s="60" t="str">
        <f>T7*VLOOKUP($Q18,Assumptions!$C$28:$G$33,T$16,FALSE)*(1+$C$27)^(T$17-$R$17)</f>
        <v> $ 16,770,392,623 </v>
      </c>
      <c r="U18" s="60" t="str">
        <f>U7*VLOOKUP($Q18,Assumptions!$C$28:$G$33,U$16,FALSE)*(1+$C$27)^(U$17-$R$17)</f>
        <v> $ 17,535,164,453 </v>
      </c>
      <c r="V18" s="60" t="str">
        <f>V7*VLOOKUP($Q18,Assumptions!$C$28:$G$33,V$16,FALSE)*(1+$C$27)^(V$17-$R$17)</f>
        <v> $ 18,334,811,790 </v>
      </c>
      <c r="W18" s="60" t="str">
        <f>W7*VLOOKUP($Q18,Assumptions!$C$28:$G$33,W$16,FALSE)*(1+$C$27)^(W$17-$R$17)</f>
        <v> $ 19,170,925,045 </v>
      </c>
      <c r="X18" s="60" t="str">
        <f>X7*VLOOKUP($Q18,Assumptions!$C$28:$G$33,X$16,FALSE)*(1+$C$27)^(X$17-$R$17)</f>
        <v> $ 19,554,808,440 </v>
      </c>
      <c r="Y18" s="60" t="str">
        <f>Y7*VLOOKUP($Q18,Assumptions!$C$28:$G$33,Y$16,FALSE)*(1+$C$27)^(Y$17-$R$17)</f>
        <v> $ 19,946,378,813 </v>
      </c>
      <c r="Z18" s="60" t="str">
        <f>Z7*VLOOKUP($Q18,Assumptions!$C$28:$G$33,Z$16,FALSE)*(1+$C$27)^(Z$17-$R$17)</f>
        <v> $ 20,345,790,089 </v>
      </c>
      <c r="AA18" s="60" t="str">
        <f>AA7*VLOOKUP($Q18,Assumptions!$C$28:$G$33,AA$16,FALSE)*(1+$C$27)^(AA$17-$R$17)</f>
        <v> $ 20,753,199,277 </v>
      </c>
      <c r="AB18" s="60" t="str">
        <f>AB7*VLOOKUP($Q18,Assumptions!$C$28:$G$33,AB$16,FALSE)*(1+$C$27)^(AB$17-$R$17)</f>
        <v> $ 21,168,766,527 </v>
      </c>
    </row>
    <row r="19">
      <c r="B19" s="78" t="s">
        <v>97</v>
      </c>
      <c r="C19" s="79">
        <v>0.19</v>
      </c>
      <c r="D19" s="80" t="str">
        <f>C19*Assumptions!$D$5*$C$25</f>
        <v>  15,960,000 </v>
      </c>
      <c r="E19" s="81" t="str">
        <f t="shared" ref="E19:N19" si="14">D19*E$23</f>
        <v>  15,880,200 </v>
      </c>
      <c r="F19" s="81" t="str">
        <f t="shared" si="14"/>
        <v>  15,800,799 </v>
      </c>
      <c r="G19" s="81" t="str">
        <f t="shared" si="14"/>
        <v>  15,958,807 </v>
      </c>
      <c r="H19" s="81" t="str">
        <f t="shared" si="14"/>
        <v>  16,118,395 </v>
      </c>
      <c r="I19" s="81" t="str">
        <f t="shared" si="14"/>
        <v>  16,279,579 </v>
      </c>
      <c r="J19" s="81" t="str">
        <f t="shared" si="14"/>
        <v>  16,198,181 </v>
      </c>
      <c r="K19" s="81" t="str">
        <f t="shared" si="14"/>
        <v>  16,117,190 </v>
      </c>
      <c r="L19" s="81" t="str">
        <f t="shared" si="14"/>
        <v>  16,036,604 </v>
      </c>
      <c r="M19" s="81" t="str">
        <f t="shared" si="14"/>
        <v>  15,956,421 </v>
      </c>
      <c r="N19" s="81" t="str">
        <f t="shared" si="14"/>
        <v>  15,876,639 </v>
      </c>
      <c r="Q19" t="s">
        <v>95</v>
      </c>
      <c r="R19" s="60" t="str">
        <f>R8*VLOOKUP($Q19,Assumptions!$C$28:$G$33,R$16,FALSE)*(1+$C$27)^(R$17-$R$17)</f>
        <v> $ 47,980,800,000 </v>
      </c>
      <c r="S19" s="60" t="str">
        <f>S8*VLOOKUP($Q19,Assumptions!$C$28:$G$33,S$16,FALSE)*(1+$C$27)^(S$17-$R$17)</f>
        <v> $ 61,779,703,230 </v>
      </c>
      <c r="T19" s="60" t="str">
        <f>T8*VLOOKUP($Q19,Assumptions!$C$28:$G$33,T$16,FALSE)*(1+$C$27)^(T$17-$R$17)</f>
        <v> $ 63,637,650,580 </v>
      </c>
      <c r="U19" s="60" t="str">
        <f>U8*VLOOKUP($Q19,Assumptions!$C$28:$G$33,U$16,FALSE)*(1+$C$27)^(U$17-$R$17)</f>
        <v> $ 66,539,686,541 </v>
      </c>
      <c r="V19" s="60" t="str">
        <f>V8*VLOOKUP($Q19,Assumptions!$C$28:$G$33,V$16,FALSE)*(1+$C$27)^(V$17-$R$17)</f>
        <v> $ 69,574,062,596 </v>
      </c>
      <c r="W19" s="60" t="str">
        <f>W8*VLOOKUP($Q19,Assumptions!$C$28:$G$33,W$16,FALSE)*(1+$C$27)^(W$17-$R$17)</f>
        <v> $ 72,746,813,786 </v>
      </c>
      <c r="X19" s="60" t="str">
        <f>X8*VLOOKUP($Q19,Assumptions!$C$28:$G$33,X$16,FALSE)*(1+$C$27)^(X$17-$R$17)</f>
        <v> $ 74,203,514,172 </v>
      </c>
      <c r="Y19" s="60" t="str">
        <f>Y8*VLOOKUP($Q19,Assumptions!$C$28:$G$33,Y$16,FALSE)*(1+$C$27)^(Y$17-$R$17)</f>
        <v> $ 75,689,383,890 </v>
      </c>
      <c r="Z19" s="60" t="str">
        <f>Z8*VLOOKUP($Q19,Assumptions!$C$28:$G$33,Z$16,FALSE)*(1+$C$27)^(Z$17-$R$17)</f>
        <v> $ 77,205,007,036 </v>
      </c>
      <c r="AA19" s="60" t="str">
        <f>AA8*VLOOKUP($Q19,Assumptions!$C$28:$G$33,AA$16,FALSE)*(1+$C$27)^(AA$17-$R$17)</f>
        <v> $ 78,750,979,398 </v>
      </c>
      <c r="AB19" s="60" t="str">
        <f>AB8*VLOOKUP($Q19,Assumptions!$C$28:$G$33,AB$16,FALSE)*(1+$C$27)^(AB$17-$R$17)</f>
        <v> $ 80,327,908,697 </v>
      </c>
    </row>
    <row r="20">
      <c r="B20" s="78" t="s">
        <v>99</v>
      </c>
      <c r="C20" s="79">
        <v>0.2</v>
      </c>
      <c r="D20" s="80" t="str">
        <f>C20*Assumptions!$D$5*$C$25</f>
        <v>  16,800,000 </v>
      </c>
      <c r="E20" s="81" t="str">
        <f t="shared" ref="E20:N20" si="15">D20*E$23</f>
        <v>  16,716,000 </v>
      </c>
      <c r="F20" s="81" t="str">
        <f t="shared" si="15"/>
        <v>  16,632,420 </v>
      </c>
      <c r="G20" s="81" t="str">
        <f t="shared" si="15"/>
        <v>  16,798,744 </v>
      </c>
      <c r="H20" s="81" t="str">
        <f t="shared" si="15"/>
        <v>  16,966,732 </v>
      </c>
      <c r="I20" s="81" t="str">
        <f t="shared" si="15"/>
        <v>  17,136,399 </v>
      </c>
      <c r="J20" s="81" t="str">
        <f t="shared" si="15"/>
        <v>  17,050,717 </v>
      </c>
      <c r="K20" s="81" t="str">
        <f t="shared" si="15"/>
        <v>  16,965,463 </v>
      </c>
      <c r="L20" s="81" t="str">
        <f t="shared" si="15"/>
        <v>  16,880,636 </v>
      </c>
      <c r="M20" s="81" t="str">
        <f t="shared" si="15"/>
        <v>  16,796,233 </v>
      </c>
      <c r="N20" s="81" t="str">
        <f t="shared" si="15"/>
        <v>  16,712,252 </v>
      </c>
      <c r="Q20" t="s">
        <v>97</v>
      </c>
      <c r="R20" s="60" t="str">
        <f>R9*VLOOKUP($Q20,Assumptions!$C$28:$G$33,R$16,FALSE)*(1+$C$27)^(R$17-$R$17)</f>
        <v> $ 143,640,000,000 </v>
      </c>
      <c r="S20" s="60" t="str">
        <f>S9*VLOOKUP($Q20,Assumptions!$C$28:$G$33,S$16,FALSE)*(1+$C$27)^(S$17-$R$17)</f>
        <v> $ 172,619,759,025 </v>
      </c>
      <c r="T20" s="60" t="str">
        <f>T9*VLOOKUP($Q20,Assumptions!$C$28:$G$33,T$16,FALSE)*(1+$C$27)^(T$17-$R$17)</f>
        <v> $ 177,811,082,503 </v>
      </c>
      <c r="U20" s="60" t="str">
        <f>U9*VLOOKUP($Q20,Assumptions!$C$28:$G$33,U$16,FALSE)*(1+$C$27)^(U$17-$R$17)</f>
        <v> $ 185,919,712,393 </v>
      </c>
      <c r="V20" s="60" t="str">
        <f>V9*VLOOKUP($Q20,Assumptions!$C$28:$G$33,V$16,FALSE)*(1+$C$27)^(V$17-$R$17)</f>
        <v> $ 194,398,116,077 </v>
      </c>
      <c r="W20" s="60" t="str">
        <f>W9*VLOOKUP($Q20,Assumptions!$C$28:$G$33,W$16,FALSE)*(1+$C$27)^(W$17-$R$17)</f>
        <v> $ 203,263,156,166 </v>
      </c>
      <c r="X20" s="60" t="str">
        <f>X9*VLOOKUP($Q20,Assumptions!$C$28:$G$33,X$16,FALSE)*(1+$C$27)^(X$17-$R$17)</f>
        <v> $ 207,333,348,420 </v>
      </c>
      <c r="Y20" s="60" t="str">
        <f>Y9*VLOOKUP($Q20,Assumptions!$C$28:$G$33,Y$16,FALSE)*(1+$C$27)^(Y$17-$R$17)</f>
        <v> $ 211,485,043,223 </v>
      </c>
      <c r="Z20" s="60" t="str">
        <f>Z9*VLOOKUP($Q20,Assumptions!$C$28:$G$33,Z$16,FALSE)*(1+$C$27)^(Z$17-$R$17)</f>
        <v> $ 215,719,872,599 </v>
      </c>
      <c r="AA20" s="60" t="str">
        <f>AA9*VLOOKUP($Q20,Assumptions!$C$28:$G$33,AA$16,FALSE)*(1+$C$27)^(AA$17-$R$17)</f>
        <v> $ 220,039,501,258 </v>
      </c>
      <c r="AB20" s="60" t="str">
        <f>AB9*VLOOKUP($Q20,Assumptions!$C$28:$G$33,AB$16,FALSE)*(1+$C$27)^(AB$17-$R$17)</f>
        <v> $ 224,445,627,241 </v>
      </c>
    </row>
    <row r="21" ht="15.75" customHeight="1">
      <c r="B21" s="78" t="s">
        <v>101</v>
      </c>
      <c r="C21" s="79">
        <v>0.2</v>
      </c>
      <c r="D21" s="80" t="str">
        <f>C21*Assumptions!$D$5*$C$25</f>
        <v>  16,800,000 </v>
      </c>
      <c r="E21" s="81" t="str">
        <f t="shared" ref="E21:N21" si="16">D21*E$23</f>
        <v>  16,716,000 </v>
      </c>
      <c r="F21" s="81" t="str">
        <f t="shared" si="16"/>
        <v>  16,632,420 </v>
      </c>
      <c r="G21" s="81" t="str">
        <f t="shared" si="16"/>
        <v>  16,798,744 </v>
      </c>
      <c r="H21" s="81" t="str">
        <f t="shared" si="16"/>
        <v>  16,966,732 </v>
      </c>
      <c r="I21" s="81" t="str">
        <f t="shared" si="16"/>
        <v>  17,136,399 </v>
      </c>
      <c r="J21" s="81" t="str">
        <f t="shared" si="16"/>
        <v>  17,050,717 </v>
      </c>
      <c r="K21" s="81" t="str">
        <f t="shared" si="16"/>
        <v>  16,965,463 </v>
      </c>
      <c r="L21" s="81" t="str">
        <f t="shared" si="16"/>
        <v>  16,880,636 </v>
      </c>
      <c r="M21" s="81" t="str">
        <f t="shared" si="16"/>
        <v>  16,796,233 </v>
      </c>
      <c r="N21" s="81" t="str">
        <f t="shared" si="16"/>
        <v>  16,712,252 </v>
      </c>
      <c r="Q21" t="s">
        <v>99</v>
      </c>
      <c r="R21" s="60" t="str">
        <f>R10*VLOOKUP($Q21,Assumptions!$C$28:$G$33,R$16,FALSE)*(1+$C$27)^(R$17-$R$17)</f>
        <v> $ 215,040,000,000 </v>
      </c>
      <c r="S21" s="60" t="str">
        <f>S10*VLOOKUP($Q21,Assumptions!$C$28:$G$33,S$16,FALSE)*(1+$C$27)^(S$17-$R$17)</f>
        <v> $ 249,195,441,600 </v>
      </c>
      <c r="T21" s="60" t="str">
        <f>T10*VLOOKUP($Q21,Assumptions!$C$28:$G$33,T$16,FALSE)*(1+$C$27)^(T$17-$R$17)</f>
        <v> $ 256,689,683,012 </v>
      </c>
      <c r="U21" s="60" t="str">
        <f>U10*VLOOKUP($Q21,Assumptions!$C$28:$G$33,U$16,FALSE)*(1+$C$27)^(U$17-$R$17)</f>
        <v> $ 283,306,228,408 </v>
      </c>
      <c r="V21" s="60" t="str">
        <f>V10*VLOOKUP($Q21,Assumptions!$C$28:$G$33,V$16,FALSE)*(1+$C$27)^(V$17-$R$17)</f>
        <v> $ 296,225,700,689 </v>
      </c>
      <c r="W21" s="60" t="str">
        <f>W10*VLOOKUP($Q21,Assumptions!$C$28:$G$33,W$16,FALSE)*(1+$C$27)^(W$17-$R$17)</f>
        <v> $ 309,734,333,205 </v>
      </c>
      <c r="X21" s="60" t="str">
        <f>X10*VLOOKUP($Q21,Assumptions!$C$28:$G$33,X$16,FALSE)*(1+$C$27)^(X$17-$R$17)</f>
        <v> $ 349,193,007,866 </v>
      </c>
      <c r="Y21" s="60" t="str">
        <f>Y10*VLOOKUP($Q21,Assumptions!$C$28:$G$33,Y$16,FALSE)*(1+$C$27)^(Y$17-$R$17)</f>
        <v> $ 356,185,335,954 </v>
      </c>
      <c r="Z21" s="60" t="str">
        <f>Z10*VLOOKUP($Q21,Assumptions!$C$28:$G$33,Z$16,FALSE)*(1+$C$27)^(Z$17-$R$17)</f>
        <v> $ 363,317,680,167 </v>
      </c>
      <c r="AA21" s="60" t="str">
        <f>AA10*VLOOKUP($Q21,Assumptions!$C$28:$G$33,AA$16,FALSE)*(1+$C$27)^(AA$17-$R$17)</f>
        <v> $ 370,592,844,224 </v>
      </c>
      <c r="AB21" s="60" t="str">
        <f>AB10*VLOOKUP($Q21,Assumptions!$C$28:$G$33,AB$16,FALSE)*(1+$C$27)^(AB$17-$R$17)</f>
        <v> $ 378,013,687,985 </v>
      </c>
    </row>
    <row r="22" ht="15.75" customHeight="1">
      <c r="B22" s="78" t="s">
        <v>102</v>
      </c>
      <c r="C22" s="79">
        <v>0.18999999999999995</v>
      </c>
      <c r="D22" s="80" t="str">
        <f>C22*Assumptions!$D$5*$C$25</f>
        <v>  15,960,000 </v>
      </c>
      <c r="E22" s="81" t="str">
        <f t="shared" ref="E22:N22" si="17">D22*E$23</f>
        <v>  15,880,200 </v>
      </c>
      <c r="F22" s="81" t="str">
        <f t="shared" si="17"/>
        <v>  15,800,799 </v>
      </c>
      <c r="G22" s="81" t="str">
        <f t="shared" si="17"/>
        <v>  15,958,807 </v>
      </c>
      <c r="H22" s="81" t="str">
        <f t="shared" si="17"/>
        <v>  16,118,395 </v>
      </c>
      <c r="I22" s="81" t="str">
        <f t="shared" si="17"/>
        <v>  16,279,579 </v>
      </c>
      <c r="J22" s="81" t="str">
        <f t="shared" si="17"/>
        <v>  16,198,181 </v>
      </c>
      <c r="K22" s="81" t="str">
        <f t="shared" si="17"/>
        <v>  16,117,190 </v>
      </c>
      <c r="L22" s="81" t="str">
        <f t="shared" si="17"/>
        <v>  16,036,604 </v>
      </c>
      <c r="M22" s="81" t="str">
        <f t="shared" si="17"/>
        <v>  15,956,421 </v>
      </c>
      <c r="N22" s="81" t="str">
        <f t="shared" si="17"/>
        <v>  15,876,639 </v>
      </c>
      <c r="Q22" t="s">
        <v>101</v>
      </c>
      <c r="R22" s="60" t="str">
        <f>R11*VLOOKUP($Q22,Assumptions!$C$28:$G$33,R$16,FALSE)*(1+$C$27)^(R$17-$R$17)</f>
        <v> $ 250,992,000,000 </v>
      </c>
      <c r="S22" s="60" t="str">
        <f>S11*VLOOKUP($Q22,Assumptions!$C$28:$G$33,S$16,FALSE)*(1+$C$27)^(S$17-$R$17)</f>
        <v> $ 301,630,315,770 </v>
      </c>
      <c r="T22" s="60" t="str">
        <f>T11*VLOOKUP($Q22,Assumptions!$C$28:$G$33,T$16,FALSE)*(1+$C$27)^(T$17-$R$17)</f>
        <v> $ 310,701,470,479 </v>
      </c>
      <c r="U22" s="60" t="str">
        <f>U11*VLOOKUP($Q22,Assumptions!$C$28:$G$33,U$16,FALSE)*(1+$C$27)^(U$17-$R$17)</f>
        <v> $ 340,340,245,443 </v>
      </c>
      <c r="V22" s="60" t="str">
        <f>V11*VLOOKUP($Q22,Assumptions!$C$28:$G$33,V$16,FALSE)*(1+$C$27)^(V$17-$R$17)</f>
        <v> $ 355,860,611,486 </v>
      </c>
      <c r="W22" s="60" t="str">
        <f>W11*VLOOKUP($Q22,Assumptions!$C$28:$G$33,W$16,FALSE)*(1+$C$27)^(W$17-$R$17)</f>
        <v> $ 372,088,745,021 </v>
      </c>
      <c r="X22" s="60" t="str">
        <f>X11*VLOOKUP($Q22,Assumptions!$C$28:$G$33,X$16,FALSE)*(1+$C$27)^(X$17-$R$17)</f>
        <v> $ 414,043,137,898 </v>
      </c>
      <c r="Y22" s="60" t="str">
        <f>Y11*VLOOKUP($Q22,Assumptions!$C$28:$G$33,Y$16,FALSE)*(1+$C$27)^(Y$17-$R$17)</f>
        <v> $ 422,334,041,202 </v>
      </c>
      <c r="Z22" s="60" t="str">
        <f>Z11*VLOOKUP($Q22,Assumptions!$C$28:$G$33,Z$16,FALSE)*(1+$C$27)^(Z$17-$R$17)</f>
        <v> $ 430,790,963,627 </v>
      </c>
      <c r="AA22" s="60" t="str">
        <f>AA11*VLOOKUP($Q22,Assumptions!$C$28:$G$33,AA$16,FALSE)*(1+$C$27)^(AA$17-$R$17)</f>
        <v> $ 439,417,229,580 </v>
      </c>
      <c r="AB22" s="60" t="str">
        <f>AB11*VLOOKUP($Q22,Assumptions!$C$28:$G$33,AB$16,FALSE)*(1+$C$27)^(AB$17-$R$17)</f>
        <v> $ 448,216,230,040 </v>
      </c>
    </row>
    <row r="23" ht="15.75" customHeight="1">
      <c r="B23" s="82" t="s">
        <v>108</v>
      </c>
      <c r="E23" s="83" t="str">
        <f>1+Assumptions!$E$5</f>
        <v>99.5%</v>
      </c>
      <c r="F23" s="83" t="str">
        <f>1+Assumptions!$E$5</f>
        <v>99.5%</v>
      </c>
      <c r="G23" s="83" t="str">
        <f>1+Assumptions!$F$5</f>
        <v>101.0%</v>
      </c>
      <c r="H23" s="83" t="str">
        <f>1+Assumptions!$F$5</f>
        <v>101.0%</v>
      </c>
      <c r="I23" s="83" t="str">
        <f>1+Assumptions!$F$5</f>
        <v>101.0%</v>
      </c>
      <c r="J23" s="83" t="str">
        <f>1+Assumptions!$G$5</f>
        <v>99.5%</v>
      </c>
      <c r="K23" s="83" t="str">
        <f>1+Assumptions!$G$5</f>
        <v>99.5%</v>
      </c>
      <c r="L23" s="83" t="str">
        <f>1+Assumptions!$G$5</f>
        <v>99.5%</v>
      </c>
      <c r="M23" s="83" t="str">
        <f>1+Assumptions!$G$5</f>
        <v>99.5%</v>
      </c>
      <c r="N23" s="83" t="str">
        <f>1+Assumptions!$G$5</f>
        <v>99.5%</v>
      </c>
      <c r="Q23" t="s">
        <v>102</v>
      </c>
      <c r="R23" s="60" t="str">
        <f>R12*VLOOKUP($Q23,Assumptions!$C$28:$G$33,R$16,FALSE)*(1+$C$27)^(R$17-$R$17)</f>
        <v> $ -   </v>
      </c>
      <c r="S23" s="60" t="str">
        <f>S12*VLOOKUP($Q23,Assumptions!$C$28:$G$33,S$16,FALSE)*(1+$C$27)^(S$17-$R$17)</f>
        <v> $ -   </v>
      </c>
      <c r="T23" s="60" t="str">
        <f>T12*VLOOKUP($Q23,Assumptions!$C$28:$G$33,T$16,FALSE)*(1+$C$27)^(T$17-$R$17)</f>
        <v> $ -   </v>
      </c>
      <c r="U23" s="60" t="str">
        <f>U12*VLOOKUP($Q23,Assumptions!$C$28:$G$33,U$16,FALSE)*(1+$C$27)^(U$17-$R$17)</f>
        <v> $ -   </v>
      </c>
      <c r="V23" s="60" t="str">
        <f>V12*VLOOKUP($Q23,Assumptions!$C$28:$G$33,V$16,FALSE)*(1+$C$27)^(V$17-$R$17)</f>
        <v> $ -   </v>
      </c>
      <c r="W23" s="60" t="str">
        <f>W12*VLOOKUP($Q23,Assumptions!$C$28:$G$33,W$16,FALSE)*(1+$C$27)^(W$17-$R$17)</f>
        <v> $ -   </v>
      </c>
      <c r="X23" s="60" t="str">
        <f>X12*VLOOKUP($Q23,Assumptions!$C$28:$G$33,X$16,FALSE)*(1+$C$27)^(X$17-$R$17)</f>
        <v> $ -   </v>
      </c>
      <c r="Y23" s="60" t="str">
        <f>Y12*VLOOKUP($Q23,Assumptions!$C$28:$G$33,Y$16,FALSE)*(1+$C$27)^(Y$17-$R$17)</f>
        <v> $ -   </v>
      </c>
      <c r="Z23" s="60" t="str">
        <f>Z12*VLOOKUP($Q23,Assumptions!$C$28:$G$33,Z$16,FALSE)*(1+$C$27)^(Z$17-$R$17)</f>
        <v> $ -   </v>
      </c>
      <c r="AA23" s="60" t="str">
        <f>AA12*VLOOKUP($Q23,Assumptions!$C$28:$G$33,AA$16,FALSE)*(1+$C$27)^(AA$17-$R$17)</f>
        <v> $ -   </v>
      </c>
      <c r="AB23" s="60" t="str">
        <f>AB12*VLOOKUP($Q23,Assumptions!$C$28:$G$33,AB$16,FALSE)*(1+$C$27)^(AB$17-$R$17)</f>
        <v> $ -   </v>
      </c>
    </row>
    <row r="24" ht="15.75" customHeight="1">
      <c r="Q24" s="73" t="s">
        <v>103</v>
      </c>
      <c r="R24" s="74" t="str">
        <f t="shared" ref="R24:AB24" si="18">SUM(R18:R23)</f>
        <v> $ 671,200,320,000 </v>
      </c>
      <c r="S24" s="74" t="str">
        <f t="shared" si="18"/>
        <v> $ 801,505,988,476 </v>
      </c>
      <c r="T24" s="74" t="str">
        <f t="shared" si="18"/>
        <v> $ 825,610,279,197 </v>
      </c>
      <c r="U24" s="74" t="str">
        <f t="shared" si="18"/>
        <v> $ 893,641,037,237 </v>
      </c>
      <c r="V24" s="74" t="str">
        <f t="shared" si="18"/>
        <v> $ 934,393,302,638 </v>
      </c>
      <c r="W24" s="74" t="str">
        <f t="shared" si="18"/>
        <v> $ 977,003,973,222 </v>
      </c>
      <c r="X24" s="74" t="str">
        <f t="shared" si="18"/>
        <v> $ 1,064,327,816,797 </v>
      </c>
      <c r="Y24" s="74" t="str">
        <f t="shared" si="18"/>
        <v> $ 1,085,640,183,082 </v>
      </c>
      <c r="Z24" s="74" t="str">
        <f t="shared" si="18"/>
        <v> $ 1,107,379,313,518 </v>
      </c>
      <c r="AA24" s="74" t="str">
        <f t="shared" si="18"/>
        <v> $ 1,129,553,753,737 </v>
      </c>
      <c r="AB24" s="74" t="str">
        <f t="shared" si="18"/>
        <v> $ 1,152,172,220,490 </v>
      </c>
    </row>
    <row r="25" ht="15.75" customHeight="1">
      <c r="B25" s="78" t="s">
        <v>109</v>
      </c>
      <c r="C25" s="84">
        <v>0.5</v>
      </c>
      <c r="R25" s="85" t="str">
        <f t="shared" ref="R25:AB25" si="19">R24/R13</f>
        <v>12%</v>
      </c>
      <c r="S25" s="85" t="str">
        <f t="shared" si="19"/>
        <v>14%</v>
      </c>
      <c r="T25" s="85" t="str">
        <f t="shared" si="19"/>
        <v>14%</v>
      </c>
      <c r="U25" s="85" t="str">
        <f t="shared" si="19"/>
        <v>15%</v>
      </c>
      <c r="V25" s="85" t="str">
        <f t="shared" si="19"/>
        <v>15%</v>
      </c>
      <c r="W25" s="85" t="str">
        <f t="shared" si="19"/>
        <v>15%</v>
      </c>
      <c r="X25" s="85" t="str">
        <f t="shared" si="19"/>
        <v>17%</v>
      </c>
      <c r="Y25" s="85" t="str">
        <f t="shared" si="19"/>
        <v>17%</v>
      </c>
      <c r="Z25" s="85" t="str">
        <f t="shared" si="19"/>
        <v>17%</v>
      </c>
      <c r="AA25" s="85" t="str">
        <f t="shared" si="19"/>
        <v>17%</v>
      </c>
      <c r="AB25" s="85" t="str">
        <f t="shared" si="19"/>
        <v>17%</v>
      </c>
    </row>
    <row r="26" ht="15.75" customHeight="1">
      <c r="B26" s="78" t="s">
        <v>110</v>
      </c>
      <c r="C26" s="84">
        <v>0.7999999999999998</v>
      </c>
    </row>
    <row r="27" ht="15.75" customHeight="1">
      <c r="B27" s="78" t="s">
        <v>111</v>
      </c>
      <c r="C27" s="86">
        <v>0.01</v>
      </c>
      <c r="D27" s="21" t="s">
        <v>112</v>
      </c>
      <c r="P27" s="53" t="s">
        <v>113</v>
      </c>
      <c r="Q27" s="57" t="s">
        <v>114</v>
      </c>
      <c r="R27" s="87">
        <v>0.6</v>
      </c>
      <c r="S27" s="87">
        <v>0.6</v>
      </c>
      <c r="T27" s="87">
        <v>0.6</v>
      </c>
      <c r="U27" s="87">
        <v>0.6</v>
      </c>
      <c r="V27" s="87">
        <v>0.6</v>
      </c>
      <c r="W27" s="87">
        <v>0.6</v>
      </c>
      <c r="X27" s="87">
        <v>0.55</v>
      </c>
      <c r="Y27" s="87">
        <v>0.55</v>
      </c>
      <c r="Z27" s="87">
        <v>0.55</v>
      </c>
      <c r="AA27" s="87">
        <v>0.55</v>
      </c>
      <c r="AB27" s="87">
        <v>0.55</v>
      </c>
    </row>
    <row r="28" ht="15.75" customHeight="1">
      <c r="B28" s="78" t="s">
        <v>115</v>
      </c>
      <c r="C28" s="86">
        <v>0.05</v>
      </c>
      <c r="D28" s="21" t="s">
        <v>116</v>
      </c>
      <c r="Q28" s="62" t="s">
        <v>91</v>
      </c>
      <c r="R28" s="62">
        <v>2023.0</v>
      </c>
      <c r="S28" s="62" t="str">
        <f t="shared" ref="S28:AB28" si="20">R28+1</f>
        <v>2024</v>
      </c>
      <c r="T28" s="62" t="str">
        <f t="shared" si="20"/>
        <v>2025</v>
      </c>
      <c r="U28" s="62" t="str">
        <f t="shared" si="20"/>
        <v>2026</v>
      </c>
      <c r="V28" s="62" t="str">
        <f t="shared" si="20"/>
        <v>2027</v>
      </c>
      <c r="W28" s="62" t="str">
        <f t="shared" si="20"/>
        <v>2028</v>
      </c>
      <c r="X28" s="62" t="str">
        <f t="shared" si="20"/>
        <v>2029</v>
      </c>
      <c r="Y28" s="62" t="str">
        <f t="shared" si="20"/>
        <v>2030</v>
      </c>
      <c r="Z28" s="62" t="str">
        <f t="shared" si="20"/>
        <v>2031</v>
      </c>
      <c r="AA28" s="62" t="str">
        <f t="shared" si="20"/>
        <v>2032</v>
      </c>
      <c r="AB28" s="62" t="str">
        <f t="shared" si="20"/>
        <v>2033</v>
      </c>
    </row>
    <row r="29" ht="15.75" customHeight="1">
      <c r="B29" s="50" t="s">
        <v>117</v>
      </c>
      <c r="C29" s="51"/>
      <c r="D29" s="51"/>
      <c r="E29" s="51"/>
      <c r="F29" s="52"/>
      <c r="Q29" t="s">
        <v>93</v>
      </c>
      <c r="R29" s="60" t="str">
        <f t="shared" ref="R29:AB29" si="21">R18*R$27</f>
        <v> $ 8,128,512,000 </v>
      </c>
      <c r="S29" s="60" t="str">
        <f t="shared" si="21"/>
        <v> $ 9,768,461,311 </v>
      </c>
      <c r="T29" s="60" t="str">
        <f t="shared" si="21"/>
        <v> $ 10,062,235,574 </v>
      </c>
      <c r="U29" s="60" t="str">
        <f t="shared" si="21"/>
        <v> $ 10,521,098,672 </v>
      </c>
      <c r="V29" s="60" t="str">
        <f t="shared" si="21"/>
        <v> $ 11,000,887,074 </v>
      </c>
      <c r="W29" s="60" t="str">
        <f t="shared" si="21"/>
        <v> $ 11,502,555,027 </v>
      </c>
      <c r="X29" s="60" t="str">
        <f t="shared" si="21"/>
        <v> $ 10,755,144,642 </v>
      </c>
      <c r="Y29" s="60" t="str">
        <f t="shared" si="21"/>
        <v> $ 10,970,508,347 </v>
      </c>
      <c r="Z29" s="60" t="str">
        <f t="shared" si="21"/>
        <v> $ 11,190,184,549 </v>
      </c>
      <c r="AA29" s="60" t="str">
        <f t="shared" si="21"/>
        <v> $ 11,414,259,602 </v>
      </c>
      <c r="AB29" s="60" t="str">
        <f t="shared" si="21"/>
        <v> $ 11,642,821,590 </v>
      </c>
    </row>
    <row r="30" ht="15.75" customHeight="1">
      <c r="B30" s="88"/>
      <c r="C30" s="89"/>
      <c r="D30" s="77">
        <v>2023.0</v>
      </c>
      <c r="E30" s="77" t="s">
        <v>118</v>
      </c>
      <c r="F30" s="90" t="s">
        <v>119</v>
      </c>
      <c r="Q30" t="s">
        <v>95</v>
      </c>
      <c r="R30" s="60" t="str">
        <f t="shared" ref="R30:AB30" si="22">R19*R$27</f>
        <v> $ 28,788,480,000 </v>
      </c>
      <c r="S30" s="60" t="str">
        <f t="shared" si="22"/>
        <v> $ 37,067,821,938 </v>
      </c>
      <c r="T30" s="60" t="str">
        <f t="shared" si="22"/>
        <v> $ 38,182,590,348 </v>
      </c>
      <c r="U30" s="60" t="str">
        <f t="shared" si="22"/>
        <v> $ 39,923,811,924 </v>
      </c>
      <c r="V30" s="60" t="str">
        <f t="shared" si="22"/>
        <v> $ 41,744,437,558 </v>
      </c>
      <c r="W30" s="60" t="str">
        <f t="shared" si="22"/>
        <v> $ 43,648,088,271 </v>
      </c>
      <c r="X30" s="60" t="str">
        <f t="shared" si="22"/>
        <v> $ 40,811,932,794 </v>
      </c>
      <c r="Y30" s="60" t="str">
        <f t="shared" si="22"/>
        <v> $ 41,629,161,140 </v>
      </c>
      <c r="Z30" s="60" t="str">
        <f t="shared" si="22"/>
        <v> $ 42,462,753,870 </v>
      </c>
      <c r="AA30" s="60" t="str">
        <f t="shared" si="22"/>
        <v> $ 43,313,038,669 </v>
      </c>
      <c r="AB30" s="60" t="str">
        <f t="shared" si="22"/>
        <v> $ 44,180,349,783 </v>
      </c>
    </row>
    <row r="31" ht="15.75" customHeight="1">
      <c r="B31" s="91" t="s">
        <v>120</v>
      </c>
      <c r="D31" s="92">
        <v>0.004</v>
      </c>
      <c r="E31" s="92">
        <v>0.0035</v>
      </c>
      <c r="F31" s="93">
        <v>0.003</v>
      </c>
      <c r="Q31" t="s">
        <v>97</v>
      </c>
      <c r="R31" s="60" t="str">
        <f t="shared" ref="R31:AB31" si="23">R20*R$27</f>
        <v> $ 86,184,000,000 </v>
      </c>
      <c r="S31" s="60" t="str">
        <f t="shared" si="23"/>
        <v> $ 103,571,855,415 </v>
      </c>
      <c r="T31" s="60" t="str">
        <f t="shared" si="23"/>
        <v> $ 106,686,649,502 </v>
      </c>
      <c r="U31" s="60" t="str">
        <f t="shared" si="23"/>
        <v> $ 111,551,827,436 </v>
      </c>
      <c r="V31" s="60" t="str">
        <f t="shared" si="23"/>
        <v> $ 116,638,869,646 </v>
      </c>
      <c r="W31" s="60" t="str">
        <f t="shared" si="23"/>
        <v> $ 121,957,893,699 </v>
      </c>
      <c r="X31" s="60" t="str">
        <f t="shared" si="23"/>
        <v> $ 114,033,341,631 </v>
      </c>
      <c r="Y31" s="60" t="str">
        <f t="shared" si="23"/>
        <v> $ 116,316,773,772 </v>
      </c>
      <c r="Z31" s="60" t="str">
        <f t="shared" si="23"/>
        <v> $ 118,645,929,930 </v>
      </c>
      <c r="AA31" s="60" t="str">
        <f t="shared" si="23"/>
        <v> $ 121,021,725,692 </v>
      </c>
      <c r="AB31" s="60" t="str">
        <f t="shared" si="23"/>
        <v> $ 123,445,094,983 </v>
      </c>
    </row>
    <row r="32" ht="15.75" customHeight="1">
      <c r="B32" s="94" t="s">
        <v>121</v>
      </c>
      <c r="C32" s="71"/>
      <c r="D32" s="95" t="str">
        <f>SUM(D10)</f>
        <v> $ 1,877 </v>
      </c>
      <c r="E32" s="95" t="str">
        <f>SUM(E10:I10)</f>
        <v> $ 14,188 </v>
      </c>
      <c r="F32" s="96" t="str">
        <f>SUM(J10:N10)</f>
        <v> $ 26,248 </v>
      </c>
      <c r="Q32" t="s">
        <v>99</v>
      </c>
      <c r="R32" s="60" t="str">
        <f t="shared" ref="R32:AB32" si="24">R21*R$27</f>
        <v> $ 129,024,000,000 </v>
      </c>
      <c r="S32" s="60" t="str">
        <f t="shared" si="24"/>
        <v> $ 149,517,264,960 </v>
      </c>
      <c r="T32" s="60" t="str">
        <f t="shared" si="24"/>
        <v> $ 154,013,809,807 </v>
      </c>
      <c r="U32" s="60" t="str">
        <f t="shared" si="24"/>
        <v> $ 169,983,737,045 </v>
      </c>
      <c r="V32" s="60" t="str">
        <f t="shared" si="24"/>
        <v> $ 177,735,420,413 </v>
      </c>
      <c r="W32" s="60" t="str">
        <f t="shared" si="24"/>
        <v> $ 185,840,599,923 </v>
      </c>
      <c r="X32" s="60" t="str">
        <f t="shared" si="24"/>
        <v> $ 192,056,154,326 </v>
      </c>
      <c r="Y32" s="60" t="str">
        <f t="shared" si="24"/>
        <v> $ 195,901,934,775 </v>
      </c>
      <c r="Z32" s="60" t="str">
        <f t="shared" si="24"/>
        <v> $ 199,824,724,092 </v>
      </c>
      <c r="AA32" s="60" t="str">
        <f t="shared" si="24"/>
        <v> $ 203,826,064,323 </v>
      </c>
      <c r="AB32" s="60" t="str">
        <f t="shared" si="24"/>
        <v> $ 207,907,528,392 </v>
      </c>
    </row>
    <row r="33" ht="15.75" customHeight="1">
      <c r="Q33" t="s">
        <v>101</v>
      </c>
      <c r="R33" s="60" t="str">
        <f t="shared" ref="R33:AB33" si="25">R22*R$27</f>
        <v> $ 150,595,200,000 </v>
      </c>
      <c r="S33" s="60" t="str">
        <f t="shared" si="25"/>
        <v> $ 180,978,189,462 </v>
      </c>
      <c r="T33" s="60" t="str">
        <f t="shared" si="25"/>
        <v> $ 186,420,882,287 </v>
      </c>
      <c r="U33" s="60" t="str">
        <f t="shared" si="25"/>
        <v> $ 204,204,147,266 </v>
      </c>
      <c r="V33" s="60" t="str">
        <f t="shared" si="25"/>
        <v> $ 213,516,366,891 </v>
      </c>
      <c r="W33" s="60" t="str">
        <f t="shared" si="25"/>
        <v> $ 223,253,247,013 </v>
      </c>
      <c r="X33" s="60" t="str">
        <f t="shared" si="25"/>
        <v> $ 227,723,725,844 </v>
      </c>
      <c r="Y33" s="60" t="str">
        <f t="shared" si="25"/>
        <v> $ 232,283,722,661 </v>
      </c>
      <c r="Z33" s="60" t="str">
        <f t="shared" si="25"/>
        <v> $ 236,935,029,995 </v>
      </c>
      <c r="AA33" s="60" t="str">
        <f t="shared" si="25"/>
        <v> $ 241,679,476,269 </v>
      </c>
      <c r="AB33" s="60" t="str">
        <f t="shared" si="25"/>
        <v> $ 246,518,926,522 </v>
      </c>
    </row>
    <row r="34" ht="15.75" customHeight="1">
      <c r="Q34" t="s">
        <v>102</v>
      </c>
      <c r="R34" s="60" t="str">
        <f t="shared" ref="R34:AB34" si="26">R23*R$27</f>
        <v> $ -   </v>
      </c>
      <c r="S34" s="60" t="str">
        <f t="shared" si="26"/>
        <v> $ -   </v>
      </c>
      <c r="T34" s="60" t="str">
        <f t="shared" si="26"/>
        <v> $ -   </v>
      </c>
      <c r="U34" s="60" t="str">
        <f t="shared" si="26"/>
        <v> $ -   </v>
      </c>
      <c r="V34" s="60" t="str">
        <f t="shared" si="26"/>
        <v> $ -   </v>
      </c>
      <c r="W34" s="60" t="str">
        <f t="shared" si="26"/>
        <v> $ -   </v>
      </c>
      <c r="X34" s="60" t="str">
        <f t="shared" si="26"/>
        <v> $ -   </v>
      </c>
      <c r="Y34" s="60" t="str">
        <f t="shared" si="26"/>
        <v> $ -   </v>
      </c>
      <c r="Z34" s="60" t="str">
        <f t="shared" si="26"/>
        <v> $ -   </v>
      </c>
      <c r="AA34" s="60" t="str">
        <f t="shared" si="26"/>
        <v> $ -   </v>
      </c>
      <c r="AB34" s="60" t="str">
        <f t="shared" si="26"/>
        <v> $ -   </v>
      </c>
    </row>
    <row r="35" ht="15.75" customHeight="1">
      <c r="B35" s="76" t="s">
        <v>122</v>
      </c>
      <c r="C35" s="76"/>
      <c r="D35" s="76"/>
      <c r="E35" s="76"/>
      <c r="Q35" s="73" t="s">
        <v>103</v>
      </c>
      <c r="R35" s="74" t="str">
        <f t="shared" ref="R35:AB35" si="27">SUM(R29:R34)</f>
        <v> $ 402,720,192,000 </v>
      </c>
      <c r="S35" s="74" t="str">
        <f t="shared" si="27"/>
        <v> $ 480,903,593,086 </v>
      </c>
      <c r="T35" s="74" t="str">
        <f t="shared" si="27"/>
        <v> $ 495,366,167,518 </v>
      </c>
      <c r="U35" s="74" t="str">
        <f t="shared" si="27"/>
        <v> $ 536,184,622,342 </v>
      </c>
      <c r="V35" s="74" t="str">
        <f t="shared" si="27"/>
        <v> $ 560,635,981,583 </v>
      </c>
      <c r="W35" s="74" t="str">
        <f t="shared" si="27"/>
        <v> $ 586,202,383,933 </v>
      </c>
      <c r="X35" s="74" t="str">
        <f t="shared" si="27"/>
        <v> $ 585,380,299,238 </v>
      </c>
      <c r="Y35" s="74" t="str">
        <f t="shared" si="27"/>
        <v> $ 597,102,100,695 </v>
      </c>
      <c r="Z35" s="74" t="str">
        <f t="shared" si="27"/>
        <v> $ 609,058,622,435 </v>
      </c>
      <c r="AA35" s="74" t="str">
        <f t="shared" si="27"/>
        <v> $ 621,254,564,555 </v>
      </c>
      <c r="AB35" s="74" t="str">
        <f t="shared" si="27"/>
        <v> $ 633,694,721,270 </v>
      </c>
    </row>
    <row r="36" ht="15.75" customHeight="1">
      <c r="B36" s="84">
        <v>0.04</v>
      </c>
      <c r="C36" t="s">
        <v>123</v>
      </c>
      <c r="E36" s="97" t="s">
        <v>124</v>
      </c>
    </row>
    <row r="37" ht="15.75" customHeight="1">
      <c r="B37" s="84">
        <v>0.4</v>
      </c>
      <c r="C37" t="s">
        <v>125</v>
      </c>
      <c r="E37" s="97" t="s">
        <v>124</v>
      </c>
    </row>
    <row r="38" ht="15.75" customHeight="1">
      <c r="B38" s="84">
        <v>0.2</v>
      </c>
      <c r="C38" t="s">
        <v>126</v>
      </c>
      <c r="P38" s="53" t="s">
        <v>127</v>
      </c>
    </row>
    <row r="39" ht="15.75" customHeight="1">
      <c r="B39" s="84">
        <v>0.05</v>
      </c>
      <c r="C39" t="s">
        <v>128</v>
      </c>
      <c r="Q39" s="57" t="s">
        <v>129</v>
      </c>
      <c r="R39" s="58">
        <v>3.0</v>
      </c>
      <c r="S39" s="58" t="str">
        <f t="shared" ref="S39:AB39" si="28">R39+1</f>
        <v>4</v>
      </c>
      <c r="T39" s="58" t="str">
        <f t="shared" si="28"/>
        <v>5</v>
      </c>
      <c r="U39" s="58" t="str">
        <f t="shared" si="28"/>
        <v>6</v>
      </c>
      <c r="V39" s="58" t="str">
        <f t="shared" si="28"/>
        <v>7</v>
      </c>
      <c r="W39" s="58" t="str">
        <f t="shared" si="28"/>
        <v>8</v>
      </c>
      <c r="X39" s="58" t="str">
        <f t="shared" si="28"/>
        <v>9</v>
      </c>
      <c r="Y39" s="58" t="str">
        <f t="shared" si="28"/>
        <v>10</v>
      </c>
      <c r="Z39" s="58" t="str">
        <f t="shared" si="28"/>
        <v>11</v>
      </c>
      <c r="AA39" s="58" t="str">
        <f t="shared" si="28"/>
        <v>12</v>
      </c>
      <c r="AB39" s="58" t="str">
        <f t="shared" si="28"/>
        <v>13</v>
      </c>
    </row>
    <row r="40" ht="15.75" customHeight="1">
      <c r="B40" s="84">
        <v>0.01</v>
      </c>
      <c r="C40" t="s">
        <v>130</v>
      </c>
      <c r="Q40" s="62" t="s">
        <v>91</v>
      </c>
      <c r="R40" s="62">
        <v>2023.0</v>
      </c>
      <c r="S40" s="62" t="str">
        <f t="shared" ref="S40:AB40" si="29">R40+1</f>
        <v>2024</v>
      </c>
      <c r="T40" s="62" t="str">
        <f t="shared" si="29"/>
        <v>2025</v>
      </c>
      <c r="U40" s="62" t="str">
        <f t="shared" si="29"/>
        <v>2026</v>
      </c>
      <c r="V40" s="62" t="str">
        <f t="shared" si="29"/>
        <v>2027</v>
      </c>
      <c r="W40" s="62" t="str">
        <f t="shared" si="29"/>
        <v>2028</v>
      </c>
      <c r="X40" s="62" t="str">
        <f t="shared" si="29"/>
        <v>2029</v>
      </c>
      <c r="Y40" s="62" t="str">
        <f t="shared" si="29"/>
        <v>2030</v>
      </c>
      <c r="Z40" s="62" t="str">
        <f t="shared" si="29"/>
        <v>2031</v>
      </c>
      <c r="AA40" s="62" t="str">
        <f t="shared" si="29"/>
        <v>2032</v>
      </c>
      <c r="AB40" s="62" t="str">
        <f t="shared" si="29"/>
        <v>2033</v>
      </c>
    </row>
    <row r="41" ht="15.75" customHeight="1">
      <c r="B41" s="84">
        <v>0.43</v>
      </c>
      <c r="C41" t="s">
        <v>131</v>
      </c>
      <c r="E41" s="97" t="s">
        <v>124</v>
      </c>
      <c r="Q41" t="s">
        <v>93</v>
      </c>
      <c r="R41" s="60" t="str">
        <f t="shared" ref="R41:AB41" si="30">VLOOKUP($Q41,$B$17:$N$22,R$39,FALSE)*$B$40*$B$41*$B$42</f>
        <v> $ 346,752,000 </v>
      </c>
      <c r="S41" s="60" t="str">
        <f t="shared" si="30"/>
        <v> $ 345,018,240 </v>
      </c>
      <c r="T41" s="60" t="str">
        <f t="shared" si="30"/>
        <v> $ 343,293,149 </v>
      </c>
      <c r="U41" s="60" t="str">
        <f t="shared" si="30"/>
        <v> $ 346,726,080 </v>
      </c>
      <c r="V41" s="60" t="str">
        <f t="shared" si="30"/>
        <v> $ 350,193,341 </v>
      </c>
      <c r="W41" s="60" t="str">
        <f t="shared" si="30"/>
        <v> $ 353,695,275 </v>
      </c>
      <c r="X41" s="60" t="str">
        <f t="shared" si="30"/>
        <v> $ 351,926,798 </v>
      </c>
      <c r="Y41" s="60" t="str">
        <f t="shared" si="30"/>
        <v> $ 350,167,164 </v>
      </c>
      <c r="Z41" s="60" t="str">
        <f t="shared" si="30"/>
        <v> $ 348,416,328 </v>
      </c>
      <c r="AA41" s="60" t="str">
        <f t="shared" si="30"/>
        <v> $ 346,674,247 </v>
      </c>
      <c r="AB41" s="60" t="str">
        <f t="shared" si="30"/>
        <v> $ 344,940,875 </v>
      </c>
    </row>
    <row r="42" ht="15.75" customHeight="1">
      <c r="B42" s="98">
        <v>15000.0</v>
      </c>
      <c r="C42" t="s">
        <v>132</v>
      </c>
      <c r="E42" s="97" t="s">
        <v>124</v>
      </c>
      <c r="Q42" t="s">
        <v>95</v>
      </c>
      <c r="R42" s="60" t="str">
        <f t="shared" ref="R42:AB42" si="31">VLOOKUP($Q42,$B$17:$N$22,R$39,FALSE)*$B$39*$B$41*$B$42</f>
        <v> $ 3,792,600,000 </v>
      </c>
      <c r="S42" s="60" t="str">
        <f t="shared" si="31"/>
        <v> $ 3,773,637,000 </v>
      </c>
      <c r="T42" s="60" t="str">
        <f t="shared" si="31"/>
        <v> $ 3,754,768,815 </v>
      </c>
      <c r="U42" s="60" t="str">
        <f t="shared" si="31"/>
        <v> $ 3,792,316,503 </v>
      </c>
      <c r="V42" s="60" t="str">
        <f t="shared" si="31"/>
        <v> $ 3,830,239,668 </v>
      </c>
      <c r="W42" s="60" t="str">
        <f t="shared" si="31"/>
        <v> $ 3,868,542,065 </v>
      </c>
      <c r="X42" s="60" t="str">
        <f t="shared" si="31"/>
        <v> $ 3,849,199,355 </v>
      </c>
      <c r="Y42" s="60" t="str">
        <f t="shared" si="31"/>
        <v> $ 3,829,953,358 </v>
      </c>
      <c r="Z42" s="60" t="str">
        <f t="shared" si="31"/>
        <v> $ 3,810,803,591 </v>
      </c>
      <c r="AA42" s="60" t="str">
        <f t="shared" si="31"/>
        <v> $ 3,791,749,573 </v>
      </c>
      <c r="AB42" s="60" t="str">
        <f t="shared" si="31"/>
        <v> $ 3,772,790,825 </v>
      </c>
    </row>
    <row r="43" ht="15.75" customHeight="1">
      <c r="Q43" t="s">
        <v>97</v>
      </c>
      <c r="R43" s="60" t="str">
        <f t="shared" ref="R43:AB43" si="32">VLOOKUP($Q43,$B$17:$N$23,R$39,FALSE)*$B$38*$B$41*$B$42</f>
        <v> $ 20,588,400,000 </v>
      </c>
      <c r="S43" s="60" t="str">
        <f t="shared" si="32"/>
        <v> $ 20,485,458,000 </v>
      </c>
      <c r="T43" s="60" t="str">
        <f t="shared" si="32"/>
        <v> $ 20,383,030,710 </v>
      </c>
      <c r="U43" s="60" t="str">
        <f t="shared" si="32"/>
        <v> $ 20,586,861,017 </v>
      </c>
      <c r="V43" s="60" t="str">
        <f t="shared" si="32"/>
        <v> $ 20,792,729,627 </v>
      </c>
      <c r="W43" s="60" t="str">
        <f t="shared" si="32"/>
        <v> $ 21,000,656,924 </v>
      </c>
      <c r="X43" s="60" t="str">
        <f t="shared" si="32"/>
        <v> $ 20,895,653,639 </v>
      </c>
      <c r="Y43" s="60" t="str">
        <f t="shared" si="32"/>
        <v> $ 20,791,175,371 </v>
      </c>
      <c r="Z43" s="60" t="str">
        <f t="shared" si="32"/>
        <v> $ 20,687,219,494 </v>
      </c>
      <c r="AA43" s="60" t="str">
        <f t="shared" si="32"/>
        <v> $ 20,583,783,396 </v>
      </c>
      <c r="AB43" s="60" t="str">
        <f t="shared" si="32"/>
        <v> $ 20,480,864,479 </v>
      </c>
    </row>
    <row r="44" ht="15.75" customHeight="1">
      <c r="Q44" t="s">
        <v>99</v>
      </c>
      <c r="R44" s="60" t="str">
        <f t="shared" ref="R44:AB44" si="33">VLOOKUP($Q44,$B$17:$N$23,R$39,FALSE)*$B$37*$B$41*$B$42</f>
        <v> $ 43,344,000,000 </v>
      </c>
      <c r="S44" s="60" t="str">
        <f t="shared" si="33"/>
        <v> $ 43,127,280,000 </v>
      </c>
      <c r="T44" s="60" t="str">
        <f t="shared" si="33"/>
        <v> $ 42,911,643,600 </v>
      </c>
      <c r="U44" s="60" t="str">
        <f t="shared" si="33"/>
        <v> $ 43,340,760,036 </v>
      </c>
      <c r="V44" s="60" t="str">
        <f t="shared" si="33"/>
        <v> $ 43,774,167,636 </v>
      </c>
      <c r="W44" s="60" t="str">
        <f t="shared" si="33"/>
        <v> $ 44,211,909,313 </v>
      </c>
      <c r="X44" s="60" t="str">
        <f t="shared" si="33"/>
        <v> $ 43,990,849,766 </v>
      </c>
      <c r="Y44" s="60" t="str">
        <f t="shared" si="33"/>
        <v> $ 43,770,895,517 </v>
      </c>
      <c r="Z44" s="60" t="str">
        <f t="shared" si="33"/>
        <v> $ 43,552,041,040 </v>
      </c>
      <c r="AA44" s="60" t="str">
        <f t="shared" si="33"/>
        <v> $ 43,334,280,835 </v>
      </c>
      <c r="AB44" s="60" t="str">
        <f t="shared" si="33"/>
        <v> $ 43,117,609,430 </v>
      </c>
    </row>
    <row r="45" ht="15.75" customHeight="1">
      <c r="B45" s="78" t="s">
        <v>133</v>
      </c>
      <c r="C45" s="81">
        <v>1000000.0</v>
      </c>
      <c r="Q45" t="s">
        <v>101</v>
      </c>
      <c r="R45" s="60" t="str">
        <f t="shared" ref="R45:AB45" si="34">R33*$B$36</f>
        <v> $ 6,023,808,000 </v>
      </c>
      <c r="S45" s="60" t="str">
        <f t="shared" si="34"/>
        <v> $ 7,239,127,578 </v>
      </c>
      <c r="T45" s="60" t="str">
        <f t="shared" si="34"/>
        <v> $ 7,456,835,291 </v>
      </c>
      <c r="U45" s="60" t="str">
        <f t="shared" si="34"/>
        <v> $ 8,168,165,891 </v>
      </c>
      <c r="V45" s="60" t="str">
        <f t="shared" si="34"/>
        <v> $ 8,540,654,676 </v>
      </c>
      <c r="W45" s="60" t="str">
        <f t="shared" si="34"/>
        <v> $ 8,930,129,881 </v>
      </c>
      <c r="X45" s="60" t="str">
        <f t="shared" si="34"/>
        <v> $ 9,108,949,034 </v>
      </c>
      <c r="Y45" s="60" t="str">
        <f t="shared" si="34"/>
        <v> $ 9,291,348,906 </v>
      </c>
      <c r="Z45" s="60" t="str">
        <f t="shared" si="34"/>
        <v> $ 9,477,401,200 </v>
      </c>
      <c r="AA45" s="60" t="str">
        <f t="shared" si="34"/>
        <v> $ 9,667,179,051 </v>
      </c>
      <c r="AB45" s="60" t="str">
        <f t="shared" si="34"/>
        <v> $ 9,860,757,061 </v>
      </c>
    </row>
    <row r="46" ht="15.75" customHeight="1">
      <c r="Q46" t="s">
        <v>102</v>
      </c>
      <c r="R46" s="60"/>
    </row>
    <row r="47" ht="15.75" customHeight="1">
      <c r="Q47" s="73" t="s">
        <v>103</v>
      </c>
    </row>
    <row r="48" ht="15.75" customHeight="1"/>
    <row r="49" ht="15.75" customHeight="1"/>
    <row r="50" ht="15.75" customHeight="1">
      <c r="P50" s="53" t="s">
        <v>134</v>
      </c>
      <c r="Q50" s="57"/>
      <c r="R50" s="87"/>
      <c r="S50" s="87"/>
      <c r="T50" s="87"/>
      <c r="U50" s="87"/>
      <c r="V50" s="87"/>
      <c r="W50" s="87"/>
      <c r="X50" s="87"/>
      <c r="Y50" s="87"/>
      <c r="Z50" s="87"/>
      <c r="AA50" s="87"/>
      <c r="AB50" s="87"/>
    </row>
    <row r="51" ht="15.75" customHeight="1"/>
    <row r="52" ht="15.75" customHeight="1">
      <c r="Q52" s="62" t="s">
        <v>91</v>
      </c>
      <c r="R52" s="62">
        <v>2023.0</v>
      </c>
      <c r="S52" s="62" t="str">
        <f t="shared" ref="S52:AB52" si="35">R52+1</f>
        <v>2024</v>
      </c>
      <c r="T52" s="62" t="str">
        <f t="shared" si="35"/>
        <v>2025</v>
      </c>
      <c r="U52" s="62" t="str">
        <f t="shared" si="35"/>
        <v>2026</v>
      </c>
      <c r="V52" s="62" t="str">
        <f t="shared" si="35"/>
        <v>2027</v>
      </c>
      <c r="W52" s="62" t="str">
        <f t="shared" si="35"/>
        <v>2028</v>
      </c>
      <c r="X52" s="62" t="str">
        <f t="shared" si="35"/>
        <v>2029</v>
      </c>
      <c r="Y52" s="62" t="str">
        <f t="shared" si="35"/>
        <v>2030</v>
      </c>
      <c r="Z52" s="62" t="str">
        <f t="shared" si="35"/>
        <v>2031</v>
      </c>
      <c r="AA52" s="62" t="str">
        <f t="shared" si="35"/>
        <v>2032</v>
      </c>
      <c r="AB52" s="62" t="str">
        <f t="shared" si="35"/>
        <v>2033</v>
      </c>
    </row>
    <row r="53" ht="15.75" customHeight="1">
      <c r="Q53" t="s">
        <v>93</v>
      </c>
      <c r="R53" s="60" t="str">
        <f t="shared" ref="R53:AB53" si="36">R29-R41</f>
        <v> $ 7,781,760,000 </v>
      </c>
      <c r="S53" s="60" t="str">
        <f t="shared" si="36"/>
        <v> $ 9,423,443,071 </v>
      </c>
      <c r="T53" s="60" t="str">
        <f t="shared" si="36"/>
        <v> $ 9,718,942,425 </v>
      </c>
      <c r="U53" s="60" t="str">
        <f t="shared" si="36"/>
        <v> $ 10,174,372,592 </v>
      </c>
      <c r="V53" s="60" t="str">
        <f t="shared" si="36"/>
        <v> $ 10,650,693,733 </v>
      </c>
      <c r="W53" s="60" t="str">
        <f t="shared" si="36"/>
        <v> $ 11,148,859,752 </v>
      </c>
      <c r="X53" s="60" t="str">
        <f t="shared" si="36"/>
        <v> $ 10,403,217,844 </v>
      </c>
      <c r="Y53" s="60" t="str">
        <f t="shared" si="36"/>
        <v> $ 10,620,341,183 </v>
      </c>
      <c r="Z53" s="60" t="str">
        <f t="shared" si="36"/>
        <v> $ 10,841,768,221 </v>
      </c>
      <c r="AA53" s="60" t="str">
        <f t="shared" si="36"/>
        <v> $ 11,067,585,355 </v>
      </c>
      <c r="AB53" s="60" t="str">
        <f t="shared" si="36"/>
        <v> $ 11,297,880,715 </v>
      </c>
    </row>
    <row r="54" ht="15.75" customHeight="1">
      <c r="Q54" t="s">
        <v>95</v>
      </c>
      <c r="R54" s="60" t="str">
        <f t="shared" ref="R54:AB54" si="37">R30-R42</f>
        <v> $ 24,995,880,000 </v>
      </c>
      <c r="S54" s="60" t="str">
        <f t="shared" si="37"/>
        <v> $ 33,294,184,938 </v>
      </c>
      <c r="T54" s="60" t="str">
        <f t="shared" si="37"/>
        <v> $ 34,427,821,533 </v>
      </c>
      <c r="U54" s="60" t="str">
        <f t="shared" si="37"/>
        <v> $ 36,131,495,421 </v>
      </c>
      <c r="V54" s="60" t="str">
        <f t="shared" si="37"/>
        <v> $ 37,914,197,889 </v>
      </c>
      <c r="W54" s="60" t="str">
        <f t="shared" si="37"/>
        <v> $ 39,779,546,206 </v>
      </c>
      <c r="X54" s="60" t="str">
        <f t="shared" si="37"/>
        <v> $ 36,962,733,440 </v>
      </c>
      <c r="Y54" s="60" t="str">
        <f t="shared" si="37"/>
        <v> $ 37,799,207,782 </v>
      </c>
      <c r="Z54" s="60" t="str">
        <f t="shared" si="37"/>
        <v> $ 38,651,950,279 </v>
      </c>
      <c r="AA54" s="60" t="str">
        <f t="shared" si="37"/>
        <v> $ 39,521,289,096 </v>
      </c>
      <c r="AB54" s="60" t="str">
        <f t="shared" si="37"/>
        <v> $ 40,407,558,958 </v>
      </c>
    </row>
    <row r="55" ht="15.75" customHeight="1">
      <c r="Q55" t="s">
        <v>97</v>
      </c>
      <c r="R55" s="60" t="str">
        <f t="shared" ref="R55:AB55" si="38">R31-R43</f>
        <v> $ 65,595,600,000 </v>
      </c>
      <c r="S55" s="60" t="str">
        <f t="shared" si="38"/>
        <v> $ 83,086,397,415 </v>
      </c>
      <c r="T55" s="60" t="str">
        <f t="shared" si="38"/>
        <v> $ 86,303,618,792 </v>
      </c>
      <c r="U55" s="60" t="str">
        <f t="shared" si="38"/>
        <v> $ 90,964,966,419 </v>
      </c>
      <c r="V55" s="60" t="str">
        <f t="shared" si="38"/>
        <v> $ 95,846,140,019 </v>
      </c>
      <c r="W55" s="60" t="str">
        <f t="shared" si="38"/>
        <v> $ 100,957,236,776 </v>
      </c>
      <c r="X55" s="60" t="str">
        <f t="shared" si="38"/>
        <v> $ 93,137,687,992 </v>
      </c>
      <c r="Y55" s="60" t="str">
        <f t="shared" si="38"/>
        <v> $ 95,525,598,402 </v>
      </c>
      <c r="Z55" s="60" t="str">
        <f t="shared" si="38"/>
        <v> $ 97,958,710,436 </v>
      </c>
      <c r="AA55" s="60" t="str">
        <f t="shared" si="38"/>
        <v> $ 100,437,942,296 </v>
      </c>
      <c r="AB55" s="60" t="str">
        <f t="shared" si="38"/>
        <v> $ 102,964,230,503 </v>
      </c>
    </row>
    <row r="56" ht="15.75" customHeight="1">
      <c r="Q56" t="s">
        <v>99</v>
      </c>
      <c r="R56" s="60" t="str">
        <f t="shared" ref="R56:AB56" si="39">R32-R44</f>
        <v> $ 85,680,000,000 </v>
      </c>
      <c r="S56" s="60" t="str">
        <f t="shared" si="39"/>
        <v> $ 106,389,984,960 </v>
      </c>
      <c r="T56" s="60" t="str">
        <f t="shared" si="39"/>
        <v> $ 111,102,166,207 </v>
      </c>
      <c r="U56" s="60" t="str">
        <f t="shared" si="39"/>
        <v> $ 126,642,977,009 </v>
      </c>
      <c r="V56" s="60" t="str">
        <f t="shared" si="39"/>
        <v> $ 133,961,252,777 </v>
      </c>
      <c r="W56" s="60" t="str">
        <f t="shared" si="39"/>
        <v> $ 141,628,690,610 </v>
      </c>
      <c r="X56" s="60" t="str">
        <f t="shared" si="39"/>
        <v> $ 148,065,304,560 </v>
      </c>
      <c r="Y56" s="60" t="str">
        <f t="shared" si="39"/>
        <v> $ 152,131,039,257 </v>
      </c>
      <c r="Z56" s="60" t="str">
        <f t="shared" si="39"/>
        <v> $ 156,272,683,052 </v>
      </c>
      <c r="AA56" s="60" t="str">
        <f t="shared" si="39"/>
        <v> $ 160,491,783,489 </v>
      </c>
      <c r="AB56" s="60" t="str">
        <f t="shared" si="39"/>
        <v> $ 164,789,918,962 </v>
      </c>
    </row>
    <row r="57" ht="15.75" customHeight="1">
      <c r="Q57" t="s">
        <v>101</v>
      </c>
      <c r="R57" s="60" t="str">
        <f t="shared" ref="R57:AB57" si="40">R33-R45</f>
        <v> $ 144,571,392,000 </v>
      </c>
      <c r="S57" s="60" t="str">
        <f t="shared" si="40"/>
        <v> $ 173,739,061,884 </v>
      </c>
      <c r="T57" s="60" t="str">
        <f t="shared" si="40"/>
        <v> $ 178,964,046,996 </v>
      </c>
      <c r="U57" s="60" t="str">
        <f t="shared" si="40"/>
        <v> $ 196,035,981,375 </v>
      </c>
      <c r="V57" s="60" t="str">
        <f t="shared" si="40"/>
        <v> $ 204,975,712,216 </v>
      </c>
      <c r="W57" s="60" t="str">
        <f t="shared" si="40"/>
        <v> $ 214,323,117,132 </v>
      </c>
      <c r="X57" s="60" t="str">
        <f t="shared" si="40"/>
        <v> $ 218,614,776,810 </v>
      </c>
      <c r="Y57" s="60" t="str">
        <f t="shared" si="40"/>
        <v> $ 222,992,373,755 </v>
      </c>
      <c r="Z57" s="60" t="str">
        <f t="shared" si="40"/>
        <v> $ 227,457,628,795 </v>
      </c>
      <c r="AA57" s="60" t="str">
        <f t="shared" si="40"/>
        <v> $ 232,012,297,218 </v>
      </c>
      <c r="AB57" s="60" t="str">
        <f t="shared" si="40"/>
        <v> $ 236,658,169,461 </v>
      </c>
    </row>
    <row r="58" ht="15.75" customHeight="1">
      <c r="Q58" t="s">
        <v>102</v>
      </c>
      <c r="R58" s="60"/>
      <c r="S58" s="60" t="str">
        <f t="shared" ref="S58:AB58" si="41">S34-S46</f>
        <v> $ -   </v>
      </c>
      <c r="T58" s="60" t="str">
        <f t="shared" si="41"/>
        <v> $ -   </v>
      </c>
      <c r="U58" s="60" t="str">
        <f t="shared" si="41"/>
        <v> $ -   </v>
      </c>
      <c r="V58" s="60" t="str">
        <f t="shared" si="41"/>
        <v> $ -   </v>
      </c>
      <c r="W58" s="60" t="str">
        <f t="shared" si="41"/>
        <v> $ -   </v>
      </c>
      <c r="X58" s="60" t="str">
        <f t="shared" si="41"/>
        <v> $ -   </v>
      </c>
      <c r="Y58" s="60" t="str">
        <f t="shared" si="41"/>
        <v> $ -   </v>
      </c>
      <c r="Z58" s="60" t="str">
        <f t="shared" si="41"/>
        <v> $ -   </v>
      </c>
      <c r="AA58" s="60" t="str">
        <f t="shared" si="41"/>
        <v> $ -   </v>
      </c>
      <c r="AB58" s="60" t="str">
        <f t="shared" si="41"/>
        <v> $ -   </v>
      </c>
    </row>
    <row r="59" ht="15.75" customHeight="1">
      <c r="Q59" s="73" t="s">
        <v>103</v>
      </c>
      <c r="R59" s="74" t="str">
        <f t="shared" ref="R59:AB59" si="42">SUM(R53:R58)</f>
        <v> $ 328,624,632,000 </v>
      </c>
      <c r="S59" s="74" t="str">
        <f t="shared" si="42"/>
        <v> $ 405,933,072,267 </v>
      </c>
      <c r="T59" s="74" t="str">
        <f t="shared" si="42"/>
        <v> $ 420,516,595,953 </v>
      </c>
      <c r="U59" s="74" t="str">
        <f t="shared" si="42"/>
        <v> $ 459,949,792,815 </v>
      </c>
      <c r="V59" s="74" t="str">
        <f t="shared" si="42"/>
        <v> $ 483,347,996,634 </v>
      </c>
      <c r="W59" s="74" t="str">
        <f t="shared" si="42"/>
        <v> $ 507,837,450,477 </v>
      </c>
      <c r="X59" s="74" t="str">
        <f t="shared" si="42"/>
        <v> $ 507,183,720,647 </v>
      </c>
      <c r="Y59" s="74" t="str">
        <f t="shared" si="42"/>
        <v> $ 519,068,560,379 </v>
      </c>
      <c r="Z59" s="74" t="str">
        <f t="shared" si="42"/>
        <v> $ 531,182,740,782 </v>
      </c>
      <c r="AA59" s="74" t="str">
        <f t="shared" si="42"/>
        <v> $ 543,530,897,454 </v>
      </c>
      <c r="AB59" s="74" t="str">
        <f t="shared" si="42"/>
        <v> $ 556,117,758,598 </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B4:N4"/>
    <mergeCell ref="B15:N15"/>
    <mergeCell ref="B29:F29"/>
  </mergeCells>
  <dataValidations>
    <dataValidation type="list" allowBlank="1" showErrorMessage="1" sqref="C27">
      <formula1>Dropdowns!$K$3:$K$9</formula1>
    </dataValidation>
    <dataValidation type="list" allowBlank="1" showErrorMessage="1" sqref="C26">
      <formula1>Dropdowns!$E$3:$E$23</formula1>
    </dataValidation>
    <dataValidation type="list" allowBlank="1" showErrorMessage="1" sqref="C28">
      <formula1>Dropdowns!$M$3:$M$13</formula1>
    </dataValidation>
  </dataValidations>
  <hyperlinks>
    <hyperlink r:id="rId2" ref="E36"/>
    <hyperlink r:id="rId3" ref="E37"/>
  </hyperlinks>
  <printOptions/>
  <pageMargins bottom="0.75" footer="0.0" header="0.0" left="0.7" right="0.7" top="0.75"/>
  <pageSetup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6.78"/>
    <col customWidth="1" min="2" max="2" width="23.33"/>
    <col customWidth="1" min="3" max="12" width="8.33"/>
    <col customWidth="1" min="13" max="24" width="8.89"/>
    <col customWidth="1" min="25" max="25" width="6.78"/>
  </cols>
  <sheetData>
    <row r="3">
      <c r="B3" s="50" t="s">
        <v>135</v>
      </c>
      <c r="C3" s="51"/>
      <c r="D3" s="51"/>
      <c r="E3" s="51"/>
      <c r="F3" s="51"/>
      <c r="G3" s="51"/>
      <c r="H3" s="51"/>
      <c r="I3" s="51"/>
      <c r="J3" s="51"/>
      <c r="K3" s="51"/>
      <c r="L3" s="51"/>
      <c r="M3" s="52"/>
    </row>
    <row r="4">
      <c r="B4" s="99"/>
      <c r="C4" s="62">
        <v>2023.0</v>
      </c>
      <c r="D4" s="62" t="str">
        <f t="shared" ref="D4:M4" si="1">C4+1</f>
        <v>2024</v>
      </c>
      <c r="E4" s="62" t="str">
        <f t="shared" si="1"/>
        <v>2025</v>
      </c>
      <c r="F4" s="62" t="str">
        <f t="shared" si="1"/>
        <v>2026</v>
      </c>
      <c r="G4" s="62" t="str">
        <f t="shared" si="1"/>
        <v>2027</v>
      </c>
      <c r="H4" s="62" t="str">
        <f t="shared" si="1"/>
        <v>2028</v>
      </c>
      <c r="I4" s="62" t="str">
        <f t="shared" si="1"/>
        <v>2029</v>
      </c>
      <c r="J4" s="62" t="str">
        <f t="shared" si="1"/>
        <v>2030</v>
      </c>
      <c r="K4" s="62" t="str">
        <f t="shared" si="1"/>
        <v>2031</v>
      </c>
      <c r="L4" s="62" t="str">
        <f t="shared" si="1"/>
        <v>2032</v>
      </c>
      <c r="M4" s="100" t="str">
        <f t="shared" si="1"/>
        <v>2033</v>
      </c>
      <c r="O4" s="62" t="s">
        <v>136</v>
      </c>
      <c r="P4" s="62"/>
      <c r="Q4" s="89"/>
      <c r="R4" s="62"/>
    </row>
    <row r="5">
      <c r="B5" s="59" t="s">
        <v>137</v>
      </c>
      <c r="D5" s="101" t="str">
        <f>D6*HLOOKUP(D4,'Module 1'!$D$5:$N$11,6,FALSE)</f>
        <v>$39.89 </v>
      </c>
      <c r="E5" s="101" t="str">
        <f>E6*HLOOKUP(E4,'Module 1'!$D$5:$N$11,6,FALSE)</f>
        <v>$59.35 </v>
      </c>
      <c r="F5" s="101" t="str">
        <f>F6*HLOOKUP(F4,'Module 1'!$D$5:$N$11,6,FALSE)</f>
        <v>$83.96 </v>
      </c>
      <c r="G5" s="101" t="str">
        <f>G6*HLOOKUP(G4,'Module 1'!$D$5:$N$11,6,FALSE)</f>
        <v>$114.10 </v>
      </c>
      <c r="H5" s="101" t="str">
        <f>H6*HLOOKUP(H4,'Module 1'!$D$5:$N$11,6,FALSE)</f>
        <v>$150.42 </v>
      </c>
      <c r="I5" s="101" t="str">
        <f>I6*HLOOKUP(I4,'Module 1'!$D$5:$N$11,6,FALSE)</f>
        <v>$172.85 </v>
      </c>
      <c r="J5" s="101" t="str">
        <f>J6*HLOOKUP(J4,'Module 1'!$D$5:$N$11,6,FALSE)</f>
        <v>$225.01 </v>
      </c>
      <c r="K5" s="101" t="str">
        <f>K6*HLOOKUP(K4,'Module 1'!$D$5:$N$11,6,FALSE)</f>
        <v>$286.18 </v>
      </c>
      <c r="L5" s="101" t="str">
        <f>L6*HLOOKUP(L4,'Module 1'!$D$5:$N$11,6,FALSE)</f>
        <v>$357.16 </v>
      </c>
      <c r="M5" s="102" t="str">
        <f>M6*HLOOKUP(M4,'Module 1'!$D$5:$N$11,6,FALSE)</f>
        <v>$438.80 </v>
      </c>
      <c r="O5" t="s">
        <v>138</v>
      </c>
      <c r="R5" s="103">
        <v>-400.0</v>
      </c>
    </row>
    <row r="6">
      <c r="B6" s="64" t="s">
        <v>94</v>
      </c>
      <c r="D6" s="104" t="str">
        <f>R7</f>
        <v>2%</v>
      </c>
      <c r="E6" s="105" t="str">
        <f t="shared" ref="E6:M6" si="2">D6+$R8</f>
        <v>2.5%</v>
      </c>
      <c r="F6" s="105" t="str">
        <f t="shared" si="2"/>
        <v>3.0%</v>
      </c>
      <c r="G6" s="105" t="str">
        <f t="shared" si="2"/>
        <v>3.5%</v>
      </c>
      <c r="H6" s="105" t="str">
        <f t="shared" si="2"/>
        <v>4.0%</v>
      </c>
      <c r="I6" s="105" t="str">
        <f t="shared" si="2"/>
        <v>4.5%</v>
      </c>
      <c r="J6" s="105" t="str">
        <f t="shared" si="2"/>
        <v>5.0%</v>
      </c>
      <c r="K6" s="105" t="str">
        <f t="shared" si="2"/>
        <v>5.5%</v>
      </c>
      <c r="L6" s="105" t="str">
        <f t="shared" si="2"/>
        <v>6.0%</v>
      </c>
      <c r="M6" s="106" t="str">
        <f t="shared" si="2"/>
        <v>6.5%</v>
      </c>
      <c r="O6" t="s">
        <v>139</v>
      </c>
      <c r="R6" s="103">
        <v>-70.0</v>
      </c>
    </row>
    <row r="7">
      <c r="B7" s="59" t="s">
        <v>140</v>
      </c>
      <c r="D7" s="101" t="str">
        <f>R6</f>
        <v>($70.00)</v>
      </c>
      <c r="E7" s="101" t="str">
        <f t="shared" ref="E7:M7" si="3">D7*(1+$R9)</f>
        <v>($71.40)</v>
      </c>
      <c r="F7" s="101" t="str">
        <f t="shared" si="3"/>
        <v>($72.83)</v>
      </c>
      <c r="G7" s="101" t="str">
        <f t="shared" si="3"/>
        <v>($74.28)</v>
      </c>
      <c r="H7" s="101" t="str">
        <f t="shared" si="3"/>
        <v>($75.77)</v>
      </c>
      <c r="I7" s="101" t="str">
        <f t="shared" si="3"/>
        <v>($77.29)</v>
      </c>
      <c r="J7" s="101" t="str">
        <f t="shared" si="3"/>
        <v>($78.83)</v>
      </c>
      <c r="K7" s="101" t="str">
        <f t="shared" si="3"/>
        <v>($80.41)</v>
      </c>
      <c r="L7" s="101" t="str">
        <f t="shared" si="3"/>
        <v>($82.02)</v>
      </c>
      <c r="M7" s="102" t="str">
        <f t="shared" si="3"/>
        <v>($83.66)</v>
      </c>
      <c r="O7" t="s">
        <v>141</v>
      </c>
      <c r="R7" s="84">
        <v>0.02</v>
      </c>
    </row>
    <row r="8">
      <c r="B8" s="59" t="s">
        <v>142</v>
      </c>
      <c r="C8" s="103" t="str">
        <f>R5</f>
        <v>($400)</v>
      </c>
      <c r="M8" s="107"/>
      <c r="O8" t="s">
        <v>143</v>
      </c>
      <c r="R8" s="86">
        <v>0.005</v>
      </c>
    </row>
    <row r="9">
      <c r="B9" s="108" t="s">
        <v>144</v>
      </c>
      <c r="C9" s="109" t="str">
        <f t="shared" ref="C9:M9" si="4">C5+C7+C8</f>
        <v>($400)</v>
      </c>
      <c r="D9" s="109" t="str">
        <f t="shared" si="4"/>
        <v>($30)</v>
      </c>
      <c r="E9" s="109" t="str">
        <f t="shared" si="4"/>
        <v>($12)</v>
      </c>
      <c r="F9" s="109" t="str">
        <f t="shared" si="4"/>
        <v>$11 </v>
      </c>
      <c r="G9" s="109" t="str">
        <f t="shared" si="4"/>
        <v>$40 </v>
      </c>
      <c r="H9" s="109" t="str">
        <f t="shared" si="4"/>
        <v>$75 </v>
      </c>
      <c r="I9" s="109" t="str">
        <f t="shared" si="4"/>
        <v>$96 </v>
      </c>
      <c r="J9" s="109" t="str">
        <f t="shared" si="4"/>
        <v>$146 </v>
      </c>
      <c r="K9" s="109" t="str">
        <f t="shared" si="4"/>
        <v>$206 </v>
      </c>
      <c r="L9" s="109" t="str">
        <f t="shared" si="4"/>
        <v>$275 </v>
      </c>
      <c r="M9" s="110" t="str">
        <f t="shared" si="4"/>
        <v>$355 </v>
      </c>
      <c r="O9" t="s">
        <v>145</v>
      </c>
      <c r="R9" s="84">
        <v>0.02</v>
      </c>
    </row>
    <row r="10">
      <c r="B10" s="59"/>
      <c r="M10" s="107"/>
      <c r="O10" t="s">
        <v>146</v>
      </c>
      <c r="R10" s="84">
        <v>0.030000000000000002</v>
      </c>
      <c r="S10" s="97" t="s">
        <v>124</v>
      </c>
    </row>
    <row r="11">
      <c r="B11" s="59" t="s">
        <v>147</v>
      </c>
      <c r="D11" s="101" t="str">
        <f>D5</f>
        <v>$39.89 </v>
      </c>
      <c r="E11" s="101" t="str">
        <f t="shared" ref="E11:M11" si="5">E5+D11</f>
        <v>$99.24 </v>
      </c>
      <c r="F11" s="101" t="str">
        <f t="shared" si="5"/>
        <v>$183.20 </v>
      </c>
      <c r="G11" s="101" t="str">
        <f t="shared" si="5"/>
        <v>$297.29 </v>
      </c>
      <c r="H11" s="101" t="str">
        <f t="shared" si="5"/>
        <v>$447.72 </v>
      </c>
      <c r="I11" s="101" t="str">
        <f t="shared" si="5"/>
        <v>$620.56 </v>
      </c>
      <c r="J11" s="101" t="str">
        <f t="shared" si="5"/>
        <v>$845.57 </v>
      </c>
      <c r="K11" s="101" t="str">
        <f t="shared" si="5"/>
        <v>$1,131.75 </v>
      </c>
      <c r="L11" s="101" t="str">
        <f t="shared" si="5"/>
        <v>$1,488.91 </v>
      </c>
      <c r="M11" s="102" t="str">
        <f t="shared" si="5"/>
        <v>$1,927.71 </v>
      </c>
    </row>
    <row r="12">
      <c r="B12" s="59" t="s">
        <v>148</v>
      </c>
      <c r="C12" s="103" t="str">
        <f>C9</f>
        <v>($400)</v>
      </c>
      <c r="D12" s="103" t="str">
        <f t="shared" ref="D12:M12" si="6">C12+D7</f>
        <v>($470)</v>
      </c>
      <c r="E12" s="103" t="str">
        <f t="shared" si="6"/>
        <v>($541)</v>
      </c>
      <c r="F12" s="103" t="str">
        <f t="shared" si="6"/>
        <v>($614)</v>
      </c>
      <c r="G12" s="103" t="str">
        <f t="shared" si="6"/>
        <v>($689)</v>
      </c>
      <c r="H12" s="103" t="str">
        <f t="shared" si="6"/>
        <v>($764)</v>
      </c>
      <c r="I12" s="103" t="str">
        <f t="shared" si="6"/>
        <v>($842)</v>
      </c>
      <c r="J12" s="103" t="str">
        <f t="shared" si="6"/>
        <v>($920)</v>
      </c>
      <c r="K12" s="103" t="str">
        <f t="shared" si="6"/>
        <v>($1,001)</v>
      </c>
      <c r="L12" s="103" t="str">
        <f t="shared" si="6"/>
        <v>($1,083)</v>
      </c>
      <c r="M12" s="111" t="str">
        <f t="shared" si="6"/>
        <v>($1,166)</v>
      </c>
    </row>
    <row r="13">
      <c r="B13" s="108" t="s">
        <v>149</v>
      </c>
      <c r="C13" s="109" t="str">
        <f t="shared" ref="C13:M13" si="7">SUM(C11:C12)</f>
        <v>($400)</v>
      </c>
      <c r="D13" s="109" t="str">
        <f t="shared" si="7"/>
        <v>($430)</v>
      </c>
      <c r="E13" s="109" t="str">
        <f t="shared" si="7"/>
        <v>($442)</v>
      </c>
      <c r="F13" s="109" t="str">
        <f t="shared" si="7"/>
        <v>($431)</v>
      </c>
      <c r="G13" s="109" t="str">
        <f t="shared" si="7"/>
        <v>($391)</v>
      </c>
      <c r="H13" s="109" t="str">
        <f t="shared" si="7"/>
        <v>($317)</v>
      </c>
      <c r="I13" s="109" t="str">
        <f t="shared" si="7"/>
        <v>($221)</v>
      </c>
      <c r="J13" s="109" t="str">
        <f t="shared" si="7"/>
        <v>($75)</v>
      </c>
      <c r="K13" s="109" t="str">
        <f t="shared" si="7"/>
        <v>$131 </v>
      </c>
      <c r="L13" s="109" t="str">
        <f t="shared" si="7"/>
        <v>$406 </v>
      </c>
      <c r="M13" s="110" t="str">
        <f t="shared" si="7"/>
        <v>$761 </v>
      </c>
    </row>
    <row r="14">
      <c r="B14" s="70"/>
      <c r="C14" s="71"/>
      <c r="D14" s="71"/>
      <c r="E14" s="71"/>
      <c r="F14" s="71"/>
      <c r="G14" s="71"/>
      <c r="H14" s="71"/>
      <c r="I14" s="71"/>
      <c r="J14" s="71"/>
      <c r="K14" s="71"/>
      <c r="L14" s="71"/>
      <c r="M14" s="72"/>
    </row>
    <row r="16">
      <c r="B16" s="112" t="s">
        <v>150</v>
      </c>
      <c r="C16" s="113" t="str">
        <f>C4+COUNTIF(C13:M13,"&lt;=0")</f>
        <v>2031 </v>
      </c>
    </row>
    <row r="17">
      <c r="B17" s="114" t="s">
        <v>151</v>
      </c>
      <c r="C17" s="115" t="str">
        <f>COUNTIF(C13:M13,"&lt;=0")</f>
        <v>8 </v>
      </c>
    </row>
    <row r="18">
      <c r="B18" s="116" t="s">
        <v>152</v>
      </c>
      <c r="C18" s="117" t="str">
        <f t="array" ref="C18">NPV(R10,C9:M9)</f>
        <v>$491.09 </v>
      </c>
    </row>
    <row r="19">
      <c r="B19" t="s">
        <v>153</v>
      </c>
      <c r="C19" s="86" t="str">
        <f>IRR(C9:M9)</f>
        <v>13.6%</v>
      </c>
    </row>
    <row r="20">
      <c r="B20" t="s">
        <v>154</v>
      </c>
      <c r="C20" s="101" t="str">
        <f t="array" ref="C20">C9+NPV(R10,D9:M9)</f>
        <v>$505.82 </v>
      </c>
    </row>
    <row r="21" ht="15.75" customHeight="1">
      <c r="B21" s="50" t="s">
        <v>155</v>
      </c>
      <c r="C21" s="51"/>
      <c r="D21" s="51"/>
      <c r="E21" s="51"/>
      <c r="F21" s="51"/>
      <c r="G21" s="51"/>
      <c r="H21" s="51"/>
      <c r="I21" s="51"/>
      <c r="J21" s="51"/>
      <c r="K21" s="51"/>
      <c r="L21" s="51"/>
      <c r="M21" s="51"/>
      <c r="N21" s="51"/>
      <c r="O21" s="51"/>
      <c r="P21" s="51"/>
      <c r="Q21" s="51"/>
      <c r="R21" s="51"/>
      <c r="S21" s="51"/>
      <c r="T21" s="51"/>
      <c r="U21" s="51"/>
      <c r="V21" s="51"/>
      <c r="W21" s="51"/>
      <c r="X21" s="52"/>
    </row>
    <row r="22" ht="15.75" customHeight="1">
      <c r="B22" s="114" t="s">
        <v>146</v>
      </c>
      <c r="C22" s="118">
        <v>0.005</v>
      </c>
      <c r="D22" s="118" t="str">
        <f t="shared" ref="D22:X22" si="8">C22+0.5%</f>
        <v>1.00%</v>
      </c>
      <c r="E22" s="118" t="str">
        <f t="shared" si="8"/>
        <v>1.50%</v>
      </c>
      <c r="F22" s="118" t="str">
        <f t="shared" si="8"/>
        <v>2.00%</v>
      </c>
      <c r="G22" s="118" t="str">
        <f t="shared" si="8"/>
        <v>2.50%</v>
      </c>
      <c r="H22" s="118" t="str">
        <f t="shared" si="8"/>
        <v>3.00%</v>
      </c>
      <c r="I22" s="118" t="str">
        <f t="shared" si="8"/>
        <v>3.50%</v>
      </c>
      <c r="J22" s="118" t="str">
        <f t="shared" si="8"/>
        <v>4.00%</v>
      </c>
      <c r="K22" s="118" t="str">
        <f t="shared" si="8"/>
        <v>4.50%</v>
      </c>
      <c r="L22" s="118" t="str">
        <f t="shared" si="8"/>
        <v>5.00%</v>
      </c>
      <c r="M22" s="118" t="str">
        <f t="shared" si="8"/>
        <v>5.50%</v>
      </c>
      <c r="N22" s="118" t="str">
        <f t="shared" si="8"/>
        <v>6.00%</v>
      </c>
      <c r="O22" s="118" t="str">
        <f t="shared" si="8"/>
        <v>6.50%</v>
      </c>
      <c r="P22" s="118" t="str">
        <f t="shared" si="8"/>
        <v>7.00%</v>
      </c>
      <c r="Q22" s="118" t="str">
        <f t="shared" si="8"/>
        <v>7.50%</v>
      </c>
      <c r="R22" s="118" t="str">
        <f t="shared" si="8"/>
        <v>8.00%</v>
      </c>
      <c r="S22" s="118" t="str">
        <f t="shared" si="8"/>
        <v>8.50%</v>
      </c>
      <c r="T22" s="118" t="str">
        <f t="shared" si="8"/>
        <v>9.00%</v>
      </c>
      <c r="U22" s="118" t="str">
        <f t="shared" si="8"/>
        <v>9.50%</v>
      </c>
      <c r="V22" s="118" t="str">
        <f t="shared" si="8"/>
        <v>10.00%</v>
      </c>
      <c r="W22" s="118" t="str">
        <f t="shared" si="8"/>
        <v>10.50%</v>
      </c>
      <c r="X22" s="119" t="str">
        <f t="shared" si="8"/>
        <v>11.00%</v>
      </c>
      <c r="Y22" s="120"/>
    </row>
    <row r="23" ht="15.75" customHeight="1">
      <c r="B23" s="59" t="s">
        <v>156</v>
      </c>
      <c r="C23" s="101" t="str">
        <f t="shared" ref="C23:X23" si="9">NPV(C$22,$C$9:$M$9)</f>
        <v>$709.92 </v>
      </c>
      <c r="D23" s="101" t="str">
        <f t="shared" si="9"/>
        <v>$661.33 </v>
      </c>
      <c r="E23" s="101" t="str">
        <f t="shared" si="9"/>
        <v>$615.28 </v>
      </c>
      <c r="F23" s="101" t="str">
        <f t="shared" si="9"/>
        <v>$571.65 </v>
      </c>
      <c r="G23" s="101" t="str">
        <f t="shared" si="9"/>
        <v>$530.30 </v>
      </c>
      <c r="H23" s="101" t="str">
        <f t="shared" si="9"/>
        <v>$491.09 </v>
      </c>
      <c r="I23" s="101" t="str">
        <f t="shared" si="9"/>
        <v>$453.91 </v>
      </c>
      <c r="J23" s="101" t="str">
        <f t="shared" si="9"/>
        <v>$418.64 </v>
      </c>
      <c r="K23" s="101" t="str">
        <f t="shared" si="9"/>
        <v>$385.19 </v>
      </c>
      <c r="L23" s="101" t="str">
        <f t="shared" si="9"/>
        <v>$353.44 </v>
      </c>
      <c r="M23" s="101" t="str">
        <f t="shared" si="9"/>
        <v>$323.31 </v>
      </c>
      <c r="N23" s="101" t="str">
        <f t="shared" si="9"/>
        <v>$294.71 </v>
      </c>
      <c r="O23" s="101" t="str">
        <f t="shared" si="9"/>
        <v>$267.55 </v>
      </c>
      <c r="P23" s="101" t="str">
        <f t="shared" si="9"/>
        <v>$241.76 </v>
      </c>
      <c r="Q23" s="101" t="str">
        <f t="shared" si="9"/>
        <v>$217.27 </v>
      </c>
      <c r="R23" s="101" t="str">
        <f t="shared" si="9"/>
        <v>$194.00 </v>
      </c>
      <c r="S23" s="101" t="str">
        <f t="shared" si="9"/>
        <v>$171.89 </v>
      </c>
      <c r="T23" s="101" t="str">
        <f t="shared" si="9"/>
        <v>$150.89 </v>
      </c>
      <c r="U23" s="101" t="str">
        <f t="shared" si="9"/>
        <v>$130.92 </v>
      </c>
      <c r="V23" s="101" t="str">
        <f t="shared" si="9"/>
        <v>$111.94 </v>
      </c>
      <c r="W23" s="101" t="str">
        <f t="shared" si="9"/>
        <v>$93.90 </v>
      </c>
      <c r="X23" s="102" t="str">
        <f t="shared" si="9"/>
        <v>$76.74 </v>
      </c>
    </row>
    <row r="24" ht="15.75" customHeight="1">
      <c r="B24" s="70"/>
      <c r="C24" s="71"/>
      <c r="D24" s="71"/>
      <c r="E24" s="71"/>
      <c r="F24" s="71"/>
      <c r="G24" s="71"/>
      <c r="H24" s="71"/>
      <c r="I24" s="71"/>
      <c r="J24" s="71"/>
      <c r="K24" s="71"/>
      <c r="L24" s="71"/>
      <c r="M24" s="71"/>
      <c r="N24" s="71"/>
      <c r="O24" s="71"/>
      <c r="P24" s="71"/>
      <c r="Q24" s="71"/>
      <c r="R24" s="71"/>
      <c r="S24" s="71"/>
      <c r="T24" s="71"/>
      <c r="U24" s="71"/>
      <c r="V24" s="71"/>
      <c r="W24" s="71"/>
      <c r="X24" s="7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B3:M3"/>
    <mergeCell ref="B21:X21"/>
  </mergeCells>
  <dataValidations>
    <dataValidation type="list" allowBlank="1" showErrorMessage="1" sqref="R10">
      <formula1>Dropdowns!$G$5:$G$25</formula1>
    </dataValidation>
    <dataValidation type="list" allowBlank="1" showErrorMessage="1" sqref="R9">
      <formula1>Dropdowns!$C$3:$C$13</formula1>
    </dataValidation>
    <dataValidation type="list" allowBlank="1" showErrorMessage="1" sqref="R5">
      <formula1>Dropdowns!$I$3:$I$19</formula1>
    </dataValidation>
  </dataValidations>
  <hyperlinks>
    <hyperlink r:id="rId1" ref="S10"/>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7.11"/>
    <col customWidth="1" min="2" max="2" width="1.22"/>
    <col customWidth="1" min="3" max="3" width="26.33"/>
    <col customWidth="1" min="4" max="4" width="11.22"/>
    <col customWidth="1" min="5" max="6" width="14.0"/>
    <col customWidth="1" min="7" max="7" width="13.67"/>
    <col customWidth="1" min="8" max="17" width="7.11"/>
  </cols>
  <sheetData>
    <row r="1">
      <c r="A1" s="121"/>
      <c r="B1" s="121"/>
      <c r="C1" s="122"/>
      <c r="D1" s="121"/>
      <c r="E1" s="121"/>
      <c r="F1" s="121"/>
      <c r="G1" s="121"/>
      <c r="H1" s="121"/>
      <c r="I1" s="121"/>
      <c r="J1" s="121"/>
      <c r="K1" s="121"/>
      <c r="L1" s="121"/>
      <c r="M1" s="121"/>
      <c r="N1" s="121"/>
      <c r="O1" s="121"/>
      <c r="P1" s="121"/>
      <c r="Q1" s="121"/>
    </row>
    <row r="2">
      <c r="A2" s="121"/>
      <c r="B2" s="121"/>
      <c r="C2" s="122"/>
      <c r="D2" s="121"/>
      <c r="E2" s="121"/>
      <c r="F2" s="121"/>
      <c r="G2" s="121"/>
      <c r="H2" s="121"/>
      <c r="I2" s="121"/>
      <c r="J2" s="121"/>
      <c r="K2" s="121"/>
      <c r="L2" s="121"/>
      <c r="M2" s="121"/>
      <c r="N2" s="121"/>
      <c r="O2" s="121"/>
      <c r="P2" s="121"/>
      <c r="Q2" s="121"/>
    </row>
    <row r="3">
      <c r="A3" s="121"/>
      <c r="B3" s="121"/>
      <c r="C3" s="123" t="s">
        <v>157</v>
      </c>
      <c r="D3" s="51"/>
      <c r="E3" s="51"/>
      <c r="F3" s="51"/>
      <c r="G3" s="52"/>
      <c r="H3" s="121"/>
      <c r="I3" s="121"/>
      <c r="J3" s="121"/>
      <c r="K3" s="121"/>
      <c r="L3" s="121"/>
      <c r="M3" s="121"/>
      <c r="N3" s="121"/>
      <c r="O3" s="121"/>
      <c r="P3" s="121"/>
      <c r="Q3" s="121"/>
    </row>
    <row r="4" ht="45.75" customHeight="1">
      <c r="A4" s="121"/>
      <c r="B4" s="121"/>
      <c r="C4" s="124"/>
      <c r="D4" s="125">
        <v>2023.0</v>
      </c>
      <c r="E4" s="125" t="s">
        <v>158</v>
      </c>
      <c r="F4" s="125" t="s">
        <v>159</v>
      </c>
      <c r="G4" s="126" t="s">
        <v>160</v>
      </c>
      <c r="H4" s="121"/>
      <c r="I4" s="121"/>
      <c r="J4" s="121"/>
      <c r="K4" s="121"/>
      <c r="L4" s="121"/>
      <c r="M4" s="121"/>
      <c r="N4" s="121"/>
      <c r="O4" s="121"/>
      <c r="P4" s="121"/>
      <c r="Q4" s="121"/>
    </row>
    <row r="5">
      <c r="A5" s="121"/>
      <c r="B5" s="121"/>
      <c r="C5" s="127" t="s">
        <v>161</v>
      </c>
      <c r="D5" s="128">
        <v>1.68E8</v>
      </c>
      <c r="E5" s="129">
        <v>-0.005</v>
      </c>
      <c r="F5" s="129">
        <v>0.01</v>
      </c>
      <c r="G5" s="130">
        <v>-0.005</v>
      </c>
      <c r="H5" s="121"/>
      <c r="I5" s="121"/>
      <c r="J5" s="121"/>
      <c r="K5" s="121"/>
      <c r="L5" s="121"/>
      <c r="M5" s="121"/>
      <c r="N5" s="121"/>
      <c r="O5" s="121"/>
      <c r="P5" s="121"/>
      <c r="Q5" s="121"/>
    </row>
    <row r="6" ht="29.25" customHeight="1">
      <c r="A6" s="121"/>
      <c r="B6" s="121"/>
      <c r="C6" s="131" t="s">
        <v>162</v>
      </c>
      <c r="D6" s="132" t="s">
        <v>163</v>
      </c>
      <c r="E6" s="133"/>
      <c r="F6" s="133"/>
      <c r="G6" s="134"/>
      <c r="H6" s="121"/>
      <c r="I6" s="121"/>
      <c r="J6" s="121"/>
      <c r="K6" s="121"/>
      <c r="L6" s="121"/>
      <c r="M6" s="121"/>
      <c r="N6" s="121"/>
      <c r="O6" s="121"/>
      <c r="P6" s="121"/>
      <c r="Q6" s="121"/>
    </row>
    <row r="7">
      <c r="A7" s="121"/>
      <c r="B7" s="121"/>
      <c r="C7" s="122"/>
      <c r="D7" s="121"/>
      <c r="E7" s="121"/>
      <c r="F7" s="121"/>
      <c r="G7" s="121"/>
      <c r="H7" s="121"/>
      <c r="I7" s="121"/>
      <c r="J7" s="121"/>
      <c r="K7" s="121"/>
      <c r="L7" s="121"/>
      <c r="M7" s="121"/>
      <c r="N7" s="121"/>
      <c r="O7" s="121"/>
      <c r="P7" s="121"/>
      <c r="Q7" s="121"/>
    </row>
    <row r="8">
      <c r="A8" s="121"/>
      <c r="B8" s="121"/>
      <c r="C8" s="123" t="s">
        <v>104</v>
      </c>
      <c r="D8" s="52"/>
      <c r="H8" s="121"/>
      <c r="I8" s="121"/>
      <c r="J8" s="121"/>
      <c r="K8" s="121"/>
      <c r="L8" s="121"/>
      <c r="M8" s="121"/>
      <c r="N8" s="121"/>
      <c r="O8" s="121"/>
      <c r="P8" s="121"/>
      <c r="Q8" s="121"/>
    </row>
    <row r="9">
      <c r="A9" s="121"/>
      <c r="B9" s="121"/>
      <c r="C9" s="135" t="s">
        <v>91</v>
      </c>
      <c r="D9" s="126" t="s">
        <v>105</v>
      </c>
      <c r="E9" s="121"/>
      <c r="F9" s="121"/>
      <c r="G9" s="121"/>
      <c r="H9" s="121"/>
      <c r="I9" s="121"/>
      <c r="J9" s="121"/>
      <c r="K9" s="121"/>
      <c r="L9" s="121"/>
      <c r="M9" s="121"/>
      <c r="N9" s="121"/>
      <c r="O9" s="121"/>
      <c r="P9" s="121"/>
      <c r="Q9" s="121"/>
    </row>
    <row r="10">
      <c r="A10" s="121"/>
      <c r="B10" s="121"/>
      <c r="C10" s="136" t="s">
        <v>93</v>
      </c>
      <c r="D10" s="137">
        <v>0.08</v>
      </c>
      <c r="E10" s="121"/>
      <c r="F10" s="121"/>
      <c r="G10" s="121"/>
      <c r="H10" s="121"/>
      <c r="I10" s="121"/>
      <c r="J10" s="121"/>
      <c r="K10" s="121"/>
      <c r="L10" s="121"/>
      <c r="M10" s="121"/>
      <c r="N10" s="121"/>
      <c r="O10" s="121"/>
      <c r="P10" s="121"/>
      <c r="Q10" s="121"/>
    </row>
    <row r="11">
      <c r="A11" s="121"/>
      <c r="B11" s="121"/>
      <c r="C11" s="127" t="s">
        <v>95</v>
      </c>
      <c r="D11" s="138">
        <v>0.14</v>
      </c>
      <c r="E11" s="121"/>
      <c r="F11" s="121"/>
      <c r="G11" s="121"/>
      <c r="H11" s="121"/>
      <c r="I11" s="121"/>
      <c r="J11" s="121"/>
      <c r="K11" s="121"/>
      <c r="L11" s="121"/>
      <c r="M11" s="121"/>
      <c r="N11" s="121"/>
      <c r="O11" s="121"/>
      <c r="P11" s="121"/>
      <c r="Q11" s="121"/>
    </row>
    <row r="12">
      <c r="A12" s="121"/>
      <c r="B12" s="121"/>
      <c r="C12" s="136" t="s">
        <v>97</v>
      </c>
      <c r="D12" s="137">
        <v>0.19</v>
      </c>
      <c r="E12" s="121"/>
      <c r="F12" s="121"/>
      <c r="G12" s="121"/>
      <c r="H12" s="121"/>
      <c r="I12" s="121"/>
      <c r="J12" s="121"/>
      <c r="K12" s="121"/>
      <c r="L12" s="121"/>
      <c r="M12" s="121"/>
      <c r="N12" s="121"/>
      <c r="O12" s="121"/>
      <c r="P12" s="121"/>
      <c r="Q12" s="121"/>
    </row>
    <row r="13">
      <c r="A13" s="121"/>
      <c r="B13" s="121"/>
      <c r="C13" s="127" t="s">
        <v>99</v>
      </c>
      <c r="D13" s="138">
        <v>0.2</v>
      </c>
      <c r="E13" s="121"/>
      <c r="F13" s="121"/>
      <c r="G13" s="121"/>
      <c r="H13" s="121"/>
      <c r="I13" s="121"/>
      <c r="J13" s="121"/>
      <c r="K13" s="121"/>
      <c r="L13" s="121"/>
      <c r="M13" s="121"/>
      <c r="N13" s="121"/>
      <c r="O13" s="121"/>
      <c r="P13" s="121"/>
      <c r="Q13" s="121"/>
    </row>
    <row r="14">
      <c r="A14" s="121"/>
      <c r="B14" s="121"/>
      <c r="C14" s="127" t="s">
        <v>101</v>
      </c>
      <c r="D14" s="138">
        <v>0.2</v>
      </c>
      <c r="E14" s="121"/>
      <c r="F14" s="121"/>
      <c r="G14" s="121"/>
      <c r="H14" s="121"/>
      <c r="I14" s="121"/>
      <c r="J14" s="121"/>
      <c r="K14" s="121"/>
      <c r="L14" s="121"/>
      <c r="M14" s="121"/>
      <c r="N14" s="121"/>
      <c r="O14" s="121"/>
      <c r="P14" s="121"/>
      <c r="Q14" s="121"/>
    </row>
    <row r="15">
      <c r="A15" s="121"/>
      <c r="B15" s="121"/>
      <c r="C15" s="131" t="s">
        <v>102</v>
      </c>
      <c r="D15" s="139">
        <v>0.18999999999999995</v>
      </c>
      <c r="E15" s="121"/>
      <c r="F15" s="121"/>
      <c r="G15" s="121"/>
      <c r="H15" s="121"/>
      <c r="I15" s="121"/>
      <c r="J15" s="121"/>
      <c r="K15" s="121"/>
      <c r="L15" s="121"/>
      <c r="M15" s="121"/>
      <c r="N15" s="121"/>
      <c r="O15" s="121"/>
      <c r="P15" s="121"/>
      <c r="Q15" s="121"/>
    </row>
    <row r="16">
      <c r="A16" s="121"/>
      <c r="B16" s="121"/>
      <c r="C16" s="122"/>
      <c r="D16" s="121"/>
      <c r="E16" s="121"/>
      <c r="F16" s="121"/>
      <c r="G16" s="121"/>
      <c r="H16" s="121"/>
      <c r="I16" s="121"/>
      <c r="J16" s="121"/>
      <c r="K16" s="121"/>
      <c r="L16" s="121"/>
      <c r="M16" s="121"/>
      <c r="N16" s="121"/>
      <c r="O16" s="121"/>
      <c r="P16" s="121"/>
      <c r="Q16" s="121"/>
    </row>
    <row r="17">
      <c r="A17" s="121"/>
      <c r="B17" s="121"/>
      <c r="C17" s="123" t="s">
        <v>164</v>
      </c>
      <c r="D17" s="51"/>
      <c r="E17" s="51"/>
      <c r="F17" s="52"/>
      <c r="G17" s="140"/>
      <c r="H17" s="121"/>
      <c r="I17" s="121"/>
      <c r="J17" s="121"/>
      <c r="K17" s="121"/>
      <c r="L17" s="121"/>
      <c r="M17" s="121"/>
      <c r="N17" s="121"/>
      <c r="O17" s="121"/>
      <c r="P17" s="121"/>
      <c r="Q17" s="121"/>
    </row>
    <row r="18">
      <c r="A18" s="121"/>
      <c r="B18" s="121"/>
      <c r="C18" s="135" t="s">
        <v>91</v>
      </c>
      <c r="D18" s="125">
        <v>2023.0</v>
      </c>
      <c r="E18" s="125" t="s">
        <v>165</v>
      </c>
      <c r="F18" s="126" t="s">
        <v>166</v>
      </c>
      <c r="G18" s="121"/>
      <c r="H18" s="121"/>
      <c r="I18" s="121"/>
      <c r="J18" s="121"/>
      <c r="K18" s="121"/>
      <c r="L18" s="121"/>
      <c r="M18" s="121"/>
      <c r="N18" s="121"/>
      <c r="O18" s="121"/>
      <c r="P18" s="121"/>
      <c r="Q18" s="121"/>
    </row>
    <row r="19">
      <c r="A19" s="121"/>
      <c r="B19" s="121"/>
      <c r="C19" s="136" t="s">
        <v>93</v>
      </c>
      <c r="D19" s="141">
        <v>42000.0</v>
      </c>
      <c r="E19" s="142">
        <v>0.025</v>
      </c>
      <c r="F19" s="143">
        <v>0.015</v>
      </c>
      <c r="G19" s="121"/>
      <c r="H19" s="121"/>
      <c r="I19" s="121"/>
      <c r="J19" s="121"/>
      <c r="K19" s="121"/>
      <c r="L19" s="121"/>
      <c r="M19" s="121"/>
      <c r="N19" s="121"/>
      <c r="O19" s="121"/>
      <c r="P19" s="121"/>
      <c r="Q19" s="121"/>
    </row>
    <row r="20">
      <c r="A20" s="121"/>
      <c r="B20" s="121"/>
      <c r="C20" s="127" t="s">
        <v>95</v>
      </c>
      <c r="D20" s="144">
        <v>51000.0</v>
      </c>
      <c r="E20" s="145">
        <v>0.025</v>
      </c>
      <c r="F20" s="130">
        <v>0.015</v>
      </c>
      <c r="G20" s="121"/>
      <c r="H20" s="121"/>
      <c r="I20" s="121"/>
      <c r="J20" s="121"/>
      <c r="K20" s="121"/>
      <c r="L20" s="121"/>
      <c r="M20" s="121"/>
      <c r="N20" s="121"/>
      <c r="O20" s="121"/>
      <c r="P20" s="121"/>
      <c r="Q20" s="121"/>
    </row>
    <row r="21" ht="15.75" customHeight="1">
      <c r="A21" s="121"/>
      <c r="B21" s="121"/>
      <c r="C21" s="136" t="s">
        <v>97</v>
      </c>
      <c r="D21" s="141">
        <v>75000.0</v>
      </c>
      <c r="E21" s="142">
        <v>0.025</v>
      </c>
      <c r="F21" s="143">
        <v>0.015</v>
      </c>
      <c r="G21" s="121"/>
      <c r="H21" s="121"/>
      <c r="I21" s="121"/>
      <c r="J21" s="121"/>
      <c r="K21" s="121"/>
      <c r="L21" s="121"/>
      <c r="M21" s="121"/>
      <c r="N21" s="121"/>
      <c r="O21" s="121"/>
      <c r="P21" s="121"/>
      <c r="Q21" s="121"/>
    </row>
    <row r="22" ht="15.75" customHeight="1">
      <c r="A22" s="121"/>
      <c r="B22" s="121"/>
      <c r="C22" s="127" t="s">
        <v>99</v>
      </c>
      <c r="D22" s="144">
        <v>80000.0</v>
      </c>
      <c r="E22" s="145">
        <v>0.025</v>
      </c>
      <c r="F22" s="130">
        <v>0.015</v>
      </c>
      <c r="G22" s="121"/>
      <c r="H22" s="121"/>
      <c r="I22" s="121"/>
      <c r="J22" s="121"/>
      <c r="K22" s="121"/>
      <c r="L22" s="121"/>
      <c r="M22" s="121"/>
      <c r="N22" s="121"/>
      <c r="O22" s="121"/>
      <c r="P22" s="121"/>
      <c r="Q22" s="121"/>
    </row>
    <row r="23" ht="15.75" customHeight="1">
      <c r="A23" s="121"/>
      <c r="B23" s="121"/>
      <c r="C23" s="127" t="s">
        <v>101</v>
      </c>
      <c r="D23" s="144">
        <v>83000.0</v>
      </c>
      <c r="E23" s="145">
        <v>0.025</v>
      </c>
      <c r="F23" s="130">
        <v>0.015</v>
      </c>
      <c r="G23" s="121"/>
      <c r="H23" s="121"/>
      <c r="I23" s="121"/>
      <c r="J23" s="121"/>
      <c r="K23" s="121"/>
      <c r="L23" s="121"/>
      <c r="M23" s="121"/>
      <c r="N23" s="121"/>
      <c r="O23" s="121"/>
      <c r="P23" s="121"/>
      <c r="Q23" s="121"/>
    </row>
    <row r="24" ht="15.75" customHeight="1">
      <c r="A24" s="121"/>
      <c r="B24" s="121"/>
      <c r="C24" s="131" t="s">
        <v>102</v>
      </c>
      <c r="D24" s="146">
        <v>48000.0</v>
      </c>
      <c r="E24" s="147">
        <v>0.025</v>
      </c>
      <c r="F24" s="148">
        <v>0.015</v>
      </c>
      <c r="G24" s="121"/>
      <c r="H24" s="121"/>
      <c r="I24" s="121"/>
      <c r="J24" s="121"/>
      <c r="K24" s="121"/>
      <c r="L24" s="121"/>
      <c r="M24" s="121"/>
      <c r="N24" s="121"/>
      <c r="O24" s="121"/>
      <c r="P24" s="121"/>
      <c r="Q24" s="121"/>
    </row>
    <row r="25" ht="15.75" customHeight="1">
      <c r="A25" s="121"/>
      <c r="B25" s="121"/>
      <c r="C25" s="122"/>
      <c r="D25" s="121"/>
      <c r="E25" s="121"/>
      <c r="F25" s="121"/>
      <c r="G25" s="121"/>
      <c r="H25" s="121"/>
      <c r="I25" s="121"/>
      <c r="J25" s="121"/>
      <c r="K25" s="121"/>
      <c r="L25" s="121"/>
      <c r="M25" s="121"/>
      <c r="N25" s="121"/>
      <c r="O25" s="121"/>
      <c r="P25" s="121"/>
      <c r="Q25" s="121"/>
    </row>
    <row r="26" ht="14.25" customHeight="1">
      <c r="A26" s="121"/>
      <c r="B26" s="121"/>
      <c r="C26" s="123" t="s">
        <v>167</v>
      </c>
      <c r="D26" s="51"/>
      <c r="E26" s="51"/>
      <c r="F26" s="51"/>
      <c r="G26" s="52"/>
      <c r="H26" s="121"/>
      <c r="I26" s="121"/>
      <c r="J26" s="121"/>
      <c r="K26" s="121"/>
      <c r="L26" s="121"/>
      <c r="M26" s="121"/>
      <c r="N26" s="121"/>
      <c r="O26" s="121"/>
      <c r="P26" s="121"/>
      <c r="Q26" s="121"/>
    </row>
    <row r="27" ht="15.75" customHeight="1">
      <c r="A27" s="121"/>
      <c r="B27" s="121"/>
      <c r="C27" s="135" t="s">
        <v>91</v>
      </c>
      <c r="D27" s="125">
        <v>2023.0</v>
      </c>
      <c r="E27" s="125" t="s">
        <v>168</v>
      </c>
      <c r="F27" s="125" t="s">
        <v>169</v>
      </c>
      <c r="G27" s="126" t="s">
        <v>119</v>
      </c>
      <c r="H27" s="121"/>
      <c r="I27" s="121"/>
      <c r="J27" s="121"/>
      <c r="K27" s="121"/>
      <c r="L27" s="121"/>
      <c r="M27" s="121"/>
      <c r="N27" s="121"/>
      <c r="O27" s="121"/>
      <c r="P27" s="121"/>
      <c r="Q27" s="121"/>
    </row>
    <row r="28" ht="15.75" customHeight="1">
      <c r="A28" s="121"/>
      <c r="B28" s="121"/>
      <c r="C28" s="136" t="s">
        <v>93</v>
      </c>
      <c r="D28" s="149">
        <v>0.06</v>
      </c>
      <c r="E28" s="149">
        <v>0.07</v>
      </c>
      <c r="F28" s="149">
        <v>0.07</v>
      </c>
      <c r="G28" s="137">
        <v>0.07</v>
      </c>
      <c r="H28" s="121"/>
      <c r="I28" s="121"/>
      <c r="J28" s="121"/>
      <c r="K28" s="121"/>
      <c r="L28" s="121"/>
      <c r="M28" s="121"/>
      <c r="N28" s="121"/>
      <c r="O28" s="121"/>
      <c r="P28" s="121"/>
      <c r="Q28" s="121"/>
    </row>
    <row r="29" ht="15.75" customHeight="1">
      <c r="A29" s="121"/>
      <c r="B29" s="121"/>
      <c r="C29" s="127" t="s">
        <v>95</v>
      </c>
      <c r="D29" s="150">
        <v>0.08</v>
      </c>
      <c r="E29" s="150">
        <v>0.1</v>
      </c>
      <c r="F29" s="150">
        <v>0.1</v>
      </c>
      <c r="G29" s="138">
        <v>0.1</v>
      </c>
      <c r="H29" s="121"/>
      <c r="I29" s="121"/>
      <c r="J29" s="121"/>
      <c r="K29" s="121"/>
      <c r="L29" s="121"/>
      <c r="M29" s="121"/>
      <c r="N29" s="121"/>
      <c r="O29" s="121"/>
      <c r="P29" s="121"/>
      <c r="Q29" s="121"/>
    </row>
    <row r="30" ht="15.75" customHeight="1">
      <c r="A30" s="121"/>
      <c r="B30" s="121"/>
      <c r="C30" s="136" t="s">
        <v>97</v>
      </c>
      <c r="D30" s="149">
        <v>0.12</v>
      </c>
      <c r="E30" s="149">
        <v>0.14</v>
      </c>
      <c r="F30" s="149">
        <v>0.14</v>
      </c>
      <c r="G30" s="137">
        <v>0.14</v>
      </c>
      <c r="H30" s="121"/>
      <c r="I30" s="121"/>
      <c r="J30" s="121"/>
      <c r="K30" s="121"/>
      <c r="L30" s="121"/>
      <c r="M30" s="121"/>
      <c r="N30" s="121"/>
      <c r="O30" s="121"/>
      <c r="P30" s="121"/>
      <c r="Q30" s="121"/>
    </row>
    <row r="31" ht="15.75" customHeight="1">
      <c r="A31" s="121"/>
      <c r="B31" s="121"/>
      <c r="C31" s="127" t="s">
        <v>99</v>
      </c>
      <c r="D31" s="150">
        <v>0.16</v>
      </c>
      <c r="E31" s="150">
        <v>0.18</v>
      </c>
      <c r="F31" s="150">
        <v>0.19</v>
      </c>
      <c r="G31" s="138">
        <v>0.21</v>
      </c>
      <c r="H31" s="121"/>
      <c r="I31" s="121"/>
      <c r="J31" s="121"/>
      <c r="K31" s="121"/>
      <c r="L31" s="121"/>
      <c r="M31" s="121"/>
      <c r="N31" s="121"/>
      <c r="O31" s="121"/>
      <c r="P31" s="121"/>
      <c r="Q31" s="121"/>
    </row>
    <row r="32" ht="15.75" customHeight="1">
      <c r="A32" s="121"/>
      <c r="B32" s="121"/>
      <c r="C32" s="127" t="s">
        <v>101</v>
      </c>
      <c r="D32" s="150">
        <v>0.18</v>
      </c>
      <c r="E32" s="150">
        <v>0.21</v>
      </c>
      <c r="F32" s="150">
        <v>0.22</v>
      </c>
      <c r="G32" s="138">
        <v>0.24</v>
      </c>
      <c r="H32" s="121"/>
      <c r="I32" s="121"/>
      <c r="J32" s="121"/>
      <c r="K32" s="121"/>
      <c r="L32" s="121"/>
      <c r="M32" s="121"/>
      <c r="N32" s="121"/>
      <c r="O32" s="121"/>
      <c r="P32" s="121"/>
      <c r="Q32" s="121"/>
    </row>
    <row r="33" ht="15.75" customHeight="1">
      <c r="A33" s="121"/>
      <c r="B33" s="121"/>
      <c r="C33" s="131" t="s">
        <v>102</v>
      </c>
      <c r="D33" s="151">
        <v>0.0</v>
      </c>
      <c r="E33" s="151">
        <v>0.0</v>
      </c>
      <c r="F33" s="151">
        <v>0.0</v>
      </c>
      <c r="G33" s="139">
        <v>0.0</v>
      </c>
      <c r="H33" s="121"/>
      <c r="I33" s="121"/>
      <c r="J33" s="121"/>
      <c r="K33" s="121"/>
      <c r="L33" s="121"/>
      <c r="M33" s="121"/>
      <c r="N33" s="121"/>
      <c r="O33" s="121"/>
      <c r="P33" s="121"/>
      <c r="Q33" s="121"/>
    </row>
    <row r="34" ht="15.75" customHeight="1">
      <c r="A34" s="121"/>
      <c r="B34" s="121"/>
      <c r="C34" s="122"/>
      <c r="D34" s="121"/>
      <c r="E34" s="121"/>
      <c r="F34" s="121"/>
      <c r="G34" s="121"/>
      <c r="H34" s="121"/>
      <c r="I34" s="121"/>
      <c r="J34" s="121"/>
      <c r="K34" s="121"/>
      <c r="L34" s="121"/>
      <c r="M34" s="121"/>
      <c r="N34" s="121"/>
      <c r="O34" s="121"/>
      <c r="P34" s="121"/>
      <c r="Q34" s="121"/>
    </row>
    <row r="35" ht="14.25" customHeight="1">
      <c r="A35" s="121"/>
      <c r="B35" s="121"/>
      <c r="C35" s="123" t="s">
        <v>117</v>
      </c>
      <c r="D35" s="51"/>
      <c r="E35" s="51"/>
      <c r="F35" s="52"/>
      <c r="G35" s="140"/>
      <c r="H35" s="121"/>
      <c r="I35" s="121"/>
      <c r="J35" s="121"/>
      <c r="K35" s="121"/>
      <c r="L35" s="121"/>
      <c r="M35" s="121"/>
      <c r="N35" s="121"/>
      <c r="O35" s="121"/>
      <c r="P35" s="121"/>
      <c r="Q35" s="121"/>
    </row>
    <row r="36" ht="15.75" customHeight="1">
      <c r="A36" s="121"/>
      <c r="B36" s="121"/>
      <c r="C36" s="135"/>
      <c r="D36" s="125">
        <v>2023.0</v>
      </c>
      <c r="E36" s="125" t="s">
        <v>118</v>
      </c>
      <c r="F36" s="126" t="s">
        <v>119</v>
      </c>
      <c r="G36" s="121"/>
      <c r="H36" s="121"/>
      <c r="I36" s="121"/>
      <c r="J36" s="121"/>
      <c r="K36" s="121"/>
      <c r="L36" s="121"/>
      <c r="M36" s="121"/>
      <c r="N36" s="121"/>
      <c r="O36" s="121"/>
      <c r="P36" s="121"/>
      <c r="Q36" s="121"/>
    </row>
    <row r="37" ht="15.75" customHeight="1">
      <c r="A37" s="121"/>
      <c r="B37" s="121"/>
      <c r="C37" s="131" t="s">
        <v>170</v>
      </c>
      <c r="D37" s="152">
        <v>0.004</v>
      </c>
      <c r="E37" s="152">
        <v>0.0035</v>
      </c>
      <c r="F37" s="153">
        <v>0.003</v>
      </c>
      <c r="G37" s="121"/>
      <c r="H37" s="121"/>
      <c r="I37" s="121"/>
      <c r="J37" s="121"/>
      <c r="K37" s="121"/>
      <c r="L37" s="121"/>
      <c r="M37" s="121"/>
      <c r="N37" s="121"/>
      <c r="O37" s="121"/>
      <c r="P37" s="121"/>
      <c r="Q37" s="121"/>
    </row>
    <row r="38" ht="15.75" customHeight="1">
      <c r="A38" s="121"/>
      <c r="B38" s="121"/>
      <c r="C38" s="122"/>
      <c r="D38" s="121"/>
      <c r="E38" s="121"/>
      <c r="F38" s="121"/>
      <c r="G38" s="121"/>
      <c r="H38" s="121"/>
      <c r="I38" s="121"/>
      <c r="J38" s="121"/>
      <c r="K38" s="121"/>
      <c r="L38" s="121"/>
      <c r="M38" s="121"/>
      <c r="N38" s="121"/>
      <c r="O38" s="121"/>
      <c r="P38" s="121"/>
      <c r="Q38" s="121"/>
    </row>
    <row r="39" ht="15.75" customHeight="1">
      <c r="A39" s="121"/>
      <c r="B39" s="121"/>
      <c r="C39" s="123" t="s">
        <v>171</v>
      </c>
      <c r="D39" s="51"/>
      <c r="E39" s="52"/>
      <c r="F39" s="154"/>
      <c r="H39" s="121"/>
      <c r="I39" s="121"/>
      <c r="J39" s="121"/>
      <c r="K39" s="121"/>
      <c r="L39" s="121"/>
      <c r="M39" s="121"/>
      <c r="N39" s="121"/>
      <c r="O39" s="121"/>
      <c r="P39" s="121"/>
      <c r="Q39" s="121"/>
    </row>
    <row r="40" ht="15.75" customHeight="1">
      <c r="A40" s="121"/>
      <c r="B40" s="121"/>
      <c r="C40" s="135" t="s">
        <v>129</v>
      </c>
      <c r="D40" s="125" t="s">
        <v>172</v>
      </c>
      <c r="E40" s="126" t="s">
        <v>173</v>
      </c>
      <c r="F40" s="155"/>
      <c r="H40" s="121"/>
      <c r="I40" s="121"/>
      <c r="J40" s="121"/>
      <c r="K40" s="121"/>
      <c r="L40" s="121"/>
      <c r="M40" s="121"/>
      <c r="N40" s="121"/>
      <c r="O40" s="121"/>
      <c r="P40" s="121"/>
      <c r="Q40" s="121"/>
    </row>
    <row r="41" ht="15.75" customHeight="1">
      <c r="A41" s="121"/>
      <c r="B41" s="121"/>
      <c r="C41" s="136">
        <v>2023.0</v>
      </c>
      <c r="D41" s="149">
        <v>0.0</v>
      </c>
      <c r="E41" s="156">
        <v>-4.0E8</v>
      </c>
      <c r="F41" s="141"/>
      <c r="H41" s="121"/>
      <c r="I41" s="121"/>
      <c r="J41" s="121"/>
      <c r="K41" s="121"/>
      <c r="L41" s="121"/>
      <c r="M41" s="121"/>
      <c r="N41" s="121"/>
      <c r="O41" s="121"/>
      <c r="P41" s="121"/>
      <c r="Q41" s="121"/>
    </row>
    <row r="42" ht="15.75" customHeight="1">
      <c r="A42" s="121"/>
      <c r="B42" s="121"/>
      <c r="C42" s="127" t="str">
        <f>C41+1</f>
        <v>2024</v>
      </c>
      <c r="D42" s="150">
        <v>0.02</v>
      </c>
      <c r="E42" s="157">
        <v>-7.0E7</v>
      </c>
      <c r="F42" s="141"/>
      <c r="H42" s="121"/>
      <c r="I42" s="121"/>
      <c r="J42" s="121"/>
      <c r="K42" s="121"/>
      <c r="L42" s="121"/>
      <c r="M42" s="121"/>
      <c r="N42" s="121"/>
      <c r="O42" s="121"/>
      <c r="P42" s="121"/>
      <c r="Q42" s="121"/>
    </row>
    <row r="43" ht="15.75" customHeight="1">
      <c r="A43" s="121"/>
      <c r="B43" s="121"/>
      <c r="C43" s="131" t="s">
        <v>174</v>
      </c>
      <c r="D43" s="158" t="s">
        <v>175</v>
      </c>
      <c r="E43" s="159" t="s">
        <v>176</v>
      </c>
      <c r="F43" s="160"/>
      <c r="H43" s="121"/>
      <c r="I43" s="121"/>
      <c r="J43" s="121"/>
      <c r="K43" s="121"/>
      <c r="L43" s="121"/>
      <c r="M43" s="121"/>
      <c r="N43" s="121"/>
      <c r="O43" s="121"/>
      <c r="P43" s="121"/>
      <c r="Q43" s="121"/>
    </row>
    <row r="44" ht="15.75" customHeight="1">
      <c r="A44" s="121"/>
      <c r="B44" s="121"/>
      <c r="C44" s="122"/>
      <c r="D44" s="121"/>
      <c r="E44" s="121"/>
      <c r="F44" s="121"/>
      <c r="G44" s="121"/>
      <c r="H44" s="121"/>
      <c r="I44" s="121"/>
      <c r="J44" s="121"/>
      <c r="K44" s="121"/>
      <c r="L44" s="121"/>
      <c r="M44" s="121"/>
      <c r="N44" s="121"/>
      <c r="O44" s="121"/>
      <c r="P44" s="121"/>
      <c r="Q44" s="121"/>
    </row>
    <row r="45" ht="15.75" customHeight="1">
      <c r="A45" s="121"/>
      <c r="B45" s="121"/>
      <c r="C45" s="123" t="s">
        <v>177</v>
      </c>
      <c r="D45" s="51"/>
      <c r="E45" s="51"/>
      <c r="F45" s="51"/>
      <c r="G45" s="52"/>
      <c r="H45" s="121"/>
      <c r="I45" s="121"/>
      <c r="J45" s="121"/>
      <c r="K45" s="121"/>
      <c r="L45" s="121"/>
      <c r="M45" s="121"/>
      <c r="N45" s="121"/>
      <c r="O45" s="121"/>
      <c r="P45" s="121"/>
      <c r="Q45" s="121"/>
    </row>
    <row r="46" ht="48.0" customHeight="1">
      <c r="A46" s="121"/>
      <c r="B46" s="121"/>
      <c r="C46" s="161" t="s">
        <v>178</v>
      </c>
      <c r="G46" s="162"/>
      <c r="H46" s="121"/>
      <c r="I46" s="121"/>
      <c r="J46" s="121"/>
      <c r="K46" s="121"/>
      <c r="L46" s="121"/>
      <c r="M46" s="121"/>
      <c r="N46" s="121"/>
      <c r="O46" s="121"/>
      <c r="P46" s="121"/>
      <c r="Q46" s="121"/>
    </row>
    <row r="47" ht="48.0" customHeight="1">
      <c r="A47" s="121"/>
      <c r="B47" s="121"/>
      <c r="C47" s="163" t="s">
        <v>179</v>
      </c>
      <c r="D47" s="11"/>
      <c r="E47" s="11"/>
      <c r="F47" s="11"/>
      <c r="G47" s="164"/>
      <c r="H47" s="121"/>
      <c r="I47" s="121"/>
      <c r="J47" s="121"/>
      <c r="K47" s="121"/>
      <c r="L47" s="121"/>
      <c r="M47" s="121"/>
      <c r="N47" s="121"/>
      <c r="O47" s="121"/>
      <c r="P47" s="121"/>
      <c r="Q47" s="121"/>
    </row>
    <row r="48" ht="48.0" customHeight="1">
      <c r="A48" s="121"/>
      <c r="B48" s="121"/>
      <c r="C48" s="165" t="s">
        <v>180</v>
      </c>
      <c r="D48" s="166"/>
      <c r="E48" s="166"/>
      <c r="F48" s="166"/>
      <c r="G48" s="167"/>
      <c r="H48" s="121"/>
      <c r="I48" s="121"/>
      <c r="J48" s="121"/>
      <c r="K48" s="121"/>
      <c r="L48" s="121"/>
      <c r="M48" s="121"/>
      <c r="N48" s="121"/>
      <c r="O48" s="121"/>
      <c r="P48" s="121"/>
      <c r="Q48" s="121"/>
    </row>
    <row r="49" ht="48.0" customHeight="1">
      <c r="A49" s="121"/>
      <c r="B49" s="121"/>
      <c r="C49" s="168" t="s">
        <v>181</v>
      </c>
      <c r="D49" s="169"/>
      <c r="E49" s="169"/>
      <c r="F49" s="169"/>
      <c r="G49" s="170"/>
      <c r="H49" s="121"/>
      <c r="I49" s="121"/>
      <c r="J49" s="121"/>
      <c r="K49" s="121"/>
      <c r="L49" s="121"/>
      <c r="M49" s="121"/>
      <c r="N49" s="121"/>
      <c r="O49" s="121"/>
      <c r="P49" s="121"/>
      <c r="Q49" s="121"/>
    </row>
    <row r="50" ht="48.0" customHeight="1">
      <c r="A50" s="121"/>
      <c r="B50" s="121"/>
      <c r="C50" s="163" t="s">
        <v>182</v>
      </c>
      <c r="D50" s="11"/>
      <c r="E50" s="11"/>
      <c r="F50" s="11"/>
      <c r="G50" s="164"/>
      <c r="H50" s="121"/>
      <c r="I50" s="121"/>
      <c r="J50" s="121"/>
      <c r="K50" s="121"/>
      <c r="L50" s="121"/>
      <c r="M50" s="121"/>
      <c r="N50" s="121"/>
      <c r="O50" s="121"/>
      <c r="P50" s="121"/>
      <c r="Q50" s="121"/>
    </row>
    <row r="51" ht="48.0" customHeight="1">
      <c r="A51" s="121"/>
      <c r="B51" s="121"/>
      <c r="C51" s="171" t="s">
        <v>183</v>
      </c>
      <c r="G51" s="162"/>
      <c r="H51" s="121"/>
      <c r="I51" s="121"/>
      <c r="J51" s="121"/>
      <c r="K51" s="121"/>
      <c r="L51" s="121"/>
      <c r="M51" s="121"/>
      <c r="N51" s="121"/>
      <c r="O51" s="121"/>
      <c r="P51" s="121"/>
      <c r="Q51" s="121"/>
    </row>
    <row r="52" ht="48.0" customHeight="1">
      <c r="A52" s="121"/>
      <c r="B52" s="121"/>
      <c r="C52" s="172" t="s">
        <v>184</v>
      </c>
      <c r="D52" s="173"/>
      <c r="E52" s="173"/>
      <c r="F52" s="173"/>
      <c r="G52" s="174"/>
      <c r="H52" s="121"/>
      <c r="I52" s="121"/>
      <c r="J52" s="121"/>
      <c r="K52" s="121"/>
      <c r="L52" s="121"/>
      <c r="M52" s="121"/>
      <c r="N52" s="121"/>
      <c r="O52" s="121"/>
      <c r="P52" s="121"/>
      <c r="Q52" s="121"/>
    </row>
    <row r="53" ht="39.0" customHeight="1">
      <c r="A53" s="121"/>
      <c r="B53" s="121"/>
      <c r="C53" s="122" t="s">
        <v>185</v>
      </c>
      <c r="D53" s="121"/>
      <c r="E53" s="121"/>
      <c r="F53" s="121"/>
      <c r="G53" s="121"/>
      <c r="H53" s="121"/>
      <c r="I53" s="121"/>
      <c r="J53" s="121"/>
      <c r="K53" s="121"/>
      <c r="L53" s="121"/>
      <c r="M53" s="121"/>
      <c r="N53" s="121"/>
      <c r="O53" s="121"/>
      <c r="P53" s="121"/>
      <c r="Q53" s="121"/>
    </row>
    <row r="54" ht="39.0" customHeight="1">
      <c r="A54" s="121"/>
      <c r="B54" s="121"/>
      <c r="C54" s="122"/>
      <c r="D54" s="121"/>
      <c r="E54" s="121"/>
      <c r="F54" s="121"/>
      <c r="G54" s="121"/>
      <c r="H54" s="121"/>
      <c r="I54" s="121"/>
      <c r="J54" s="121"/>
      <c r="K54" s="121"/>
      <c r="L54" s="121"/>
      <c r="M54" s="121"/>
      <c r="N54" s="121"/>
      <c r="O54" s="121"/>
      <c r="P54" s="121"/>
      <c r="Q54" s="121"/>
    </row>
    <row r="55" ht="15.75" customHeight="1">
      <c r="A55" s="121"/>
      <c r="B55" s="121"/>
      <c r="C55" s="122"/>
      <c r="D55" s="121"/>
      <c r="E55" s="121"/>
      <c r="F55" s="121"/>
      <c r="G55" s="121"/>
      <c r="H55" s="121"/>
      <c r="I55" s="121"/>
      <c r="J55" s="121"/>
      <c r="K55" s="121"/>
      <c r="L55" s="121"/>
      <c r="M55" s="121"/>
      <c r="N55" s="121"/>
      <c r="O55" s="121"/>
      <c r="P55" s="121"/>
      <c r="Q55" s="121"/>
    </row>
    <row r="56" ht="15.75" customHeight="1">
      <c r="A56" s="121"/>
      <c r="B56" s="121"/>
      <c r="C56" s="122"/>
      <c r="D56" s="121"/>
      <c r="E56" s="121"/>
      <c r="F56" s="121"/>
      <c r="G56" s="121"/>
      <c r="H56" s="121"/>
      <c r="I56" s="121"/>
      <c r="J56" s="121"/>
      <c r="K56" s="121"/>
      <c r="L56" s="121"/>
      <c r="M56" s="121"/>
      <c r="N56" s="121"/>
      <c r="O56" s="121"/>
      <c r="P56" s="121"/>
      <c r="Q56" s="121"/>
    </row>
    <row r="57" ht="15.75" customHeight="1">
      <c r="A57" s="121"/>
      <c r="B57" s="121"/>
      <c r="C57" s="122"/>
      <c r="D57" s="121"/>
      <c r="E57" s="121"/>
      <c r="F57" s="121"/>
      <c r="G57" s="121"/>
      <c r="H57" s="121"/>
      <c r="I57" s="121"/>
      <c r="J57" s="121"/>
      <c r="K57" s="121"/>
      <c r="L57" s="121"/>
      <c r="M57" s="121"/>
      <c r="N57" s="121"/>
      <c r="O57" s="121"/>
      <c r="P57" s="121"/>
      <c r="Q57" s="121"/>
    </row>
    <row r="58" ht="15.75" customHeight="1">
      <c r="A58" s="121"/>
      <c r="B58" s="121"/>
      <c r="C58" s="122"/>
      <c r="D58" s="121"/>
      <c r="E58" s="121"/>
      <c r="F58" s="121"/>
      <c r="G58" s="121"/>
      <c r="H58" s="121"/>
      <c r="I58" s="121"/>
      <c r="J58" s="121"/>
      <c r="K58" s="121"/>
      <c r="L58" s="121"/>
      <c r="M58" s="121"/>
      <c r="N58" s="121"/>
      <c r="O58" s="121"/>
      <c r="P58" s="121"/>
      <c r="Q58" s="121"/>
    </row>
    <row r="59" ht="15.75" customHeight="1">
      <c r="A59" s="121"/>
      <c r="B59" s="121"/>
      <c r="C59" s="122"/>
      <c r="D59" s="121"/>
      <c r="E59" s="121"/>
      <c r="F59" s="121"/>
      <c r="G59" s="121"/>
      <c r="H59" s="121"/>
      <c r="I59" s="121"/>
      <c r="J59" s="121"/>
      <c r="K59" s="121"/>
      <c r="L59" s="121"/>
      <c r="M59" s="121"/>
      <c r="N59" s="121"/>
      <c r="O59" s="121"/>
      <c r="P59" s="121"/>
      <c r="Q59" s="121"/>
    </row>
    <row r="60" ht="15.75" customHeight="1">
      <c r="A60" s="121"/>
      <c r="B60" s="121"/>
      <c r="C60" s="122"/>
      <c r="D60" s="121"/>
      <c r="E60" s="121"/>
      <c r="F60" s="121"/>
      <c r="G60" s="121"/>
      <c r="H60" s="121"/>
      <c r="I60" s="121"/>
      <c r="J60" s="121"/>
      <c r="K60" s="121"/>
      <c r="L60" s="121"/>
      <c r="M60" s="121"/>
      <c r="N60" s="121"/>
      <c r="O60" s="121"/>
      <c r="P60" s="121"/>
      <c r="Q60" s="121"/>
    </row>
    <row r="61" ht="15.75" customHeight="1">
      <c r="A61" s="121"/>
      <c r="B61" s="121"/>
      <c r="C61" s="122"/>
      <c r="D61" s="121"/>
      <c r="E61" s="121"/>
      <c r="F61" s="121"/>
      <c r="G61" s="121"/>
      <c r="H61" s="121"/>
      <c r="I61" s="121"/>
      <c r="J61" s="121"/>
      <c r="K61" s="121"/>
      <c r="L61" s="121"/>
      <c r="M61" s="121"/>
      <c r="N61" s="121"/>
      <c r="O61" s="121"/>
      <c r="P61" s="121"/>
      <c r="Q61" s="121"/>
    </row>
    <row r="62" ht="15.75" customHeight="1">
      <c r="A62" s="121"/>
      <c r="B62" s="121"/>
      <c r="C62" s="122"/>
      <c r="D62" s="121"/>
      <c r="E62" s="121"/>
      <c r="F62" s="121"/>
      <c r="G62" s="121"/>
      <c r="H62" s="121"/>
      <c r="I62" s="121"/>
      <c r="J62" s="121"/>
      <c r="K62" s="121"/>
      <c r="L62" s="121"/>
      <c r="M62" s="121"/>
      <c r="N62" s="121"/>
      <c r="O62" s="121"/>
      <c r="P62" s="121"/>
      <c r="Q62" s="121"/>
    </row>
    <row r="63" ht="15.75" customHeight="1">
      <c r="A63" s="121"/>
      <c r="B63" s="121"/>
      <c r="C63" s="122"/>
      <c r="D63" s="121"/>
      <c r="E63" s="121"/>
      <c r="F63" s="121"/>
      <c r="G63" s="121"/>
      <c r="H63" s="121"/>
      <c r="I63" s="121"/>
      <c r="J63" s="121"/>
      <c r="K63" s="121"/>
      <c r="L63" s="121"/>
      <c r="M63" s="121"/>
      <c r="N63" s="121"/>
      <c r="O63" s="121"/>
      <c r="P63" s="121"/>
      <c r="Q63" s="121"/>
    </row>
    <row r="64" ht="15.75" customHeight="1">
      <c r="A64" s="121"/>
      <c r="B64" s="121"/>
      <c r="C64" s="122"/>
      <c r="D64" s="121"/>
      <c r="E64" s="121"/>
      <c r="F64" s="121"/>
      <c r="G64" s="121"/>
      <c r="H64" s="121"/>
      <c r="I64" s="121"/>
      <c r="J64" s="121"/>
      <c r="K64" s="121"/>
      <c r="L64" s="121"/>
      <c r="M64" s="121"/>
      <c r="N64" s="121"/>
      <c r="O64" s="121"/>
      <c r="P64" s="121"/>
      <c r="Q64" s="121"/>
    </row>
    <row r="65" ht="15.75" customHeight="1">
      <c r="A65" s="121"/>
      <c r="B65" s="121"/>
      <c r="C65" s="122"/>
      <c r="D65" s="121"/>
      <c r="E65" s="121"/>
      <c r="F65" s="121"/>
      <c r="G65" s="121"/>
      <c r="H65" s="121"/>
      <c r="I65" s="121"/>
      <c r="J65" s="121"/>
      <c r="K65" s="121"/>
      <c r="L65" s="121"/>
      <c r="M65" s="121"/>
      <c r="N65" s="121"/>
      <c r="O65" s="121"/>
      <c r="P65" s="121"/>
      <c r="Q65" s="121"/>
    </row>
    <row r="66" ht="15.75" customHeight="1">
      <c r="A66" s="121"/>
      <c r="B66" s="121"/>
      <c r="C66" s="122"/>
      <c r="D66" s="121"/>
      <c r="E66" s="121"/>
      <c r="F66" s="121"/>
      <c r="G66" s="121"/>
      <c r="H66" s="121"/>
      <c r="I66" s="121"/>
      <c r="J66" s="121"/>
      <c r="K66" s="121"/>
      <c r="L66" s="121"/>
      <c r="M66" s="121"/>
      <c r="N66" s="121"/>
      <c r="O66" s="121"/>
      <c r="P66" s="121"/>
      <c r="Q66" s="121"/>
    </row>
    <row r="67" ht="15.75" customHeight="1">
      <c r="A67" s="121"/>
      <c r="B67" s="121"/>
      <c r="C67" s="122"/>
      <c r="D67" s="121"/>
      <c r="E67" s="121"/>
      <c r="F67" s="121"/>
      <c r="G67" s="121"/>
      <c r="H67" s="121"/>
      <c r="I67" s="121"/>
      <c r="J67" s="121"/>
      <c r="K67" s="121"/>
      <c r="L67" s="121"/>
      <c r="M67" s="121"/>
      <c r="N67" s="121"/>
      <c r="O67" s="121"/>
      <c r="P67" s="121"/>
      <c r="Q67" s="121"/>
    </row>
    <row r="68" ht="15.75" customHeight="1">
      <c r="A68" s="121"/>
      <c r="B68" s="121"/>
      <c r="C68" s="122"/>
      <c r="D68" s="121"/>
      <c r="E68" s="121"/>
      <c r="F68" s="121"/>
      <c r="G68" s="121"/>
      <c r="H68" s="121"/>
      <c r="I68" s="121"/>
      <c r="J68" s="121"/>
      <c r="K68" s="121"/>
      <c r="L68" s="121"/>
      <c r="M68" s="121"/>
      <c r="N68" s="121"/>
      <c r="O68" s="121"/>
      <c r="P68" s="121"/>
      <c r="Q68" s="121"/>
    </row>
    <row r="69" ht="15.75" customHeight="1">
      <c r="A69" s="121"/>
      <c r="B69" s="121"/>
      <c r="C69" s="122"/>
      <c r="D69" s="121"/>
      <c r="E69" s="121"/>
      <c r="F69" s="121"/>
      <c r="G69" s="121"/>
      <c r="H69" s="121"/>
      <c r="I69" s="121"/>
      <c r="J69" s="121"/>
      <c r="K69" s="121"/>
      <c r="L69" s="121"/>
      <c r="M69" s="121"/>
      <c r="N69" s="121"/>
      <c r="O69" s="121"/>
      <c r="P69" s="121"/>
      <c r="Q69" s="121"/>
    </row>
    <row r="70" ht="15.75" customHeight="1">
      <c r="A70" s="121"/>
      <c r="B70" s="121"/>
      <c r="C70" s="122"/>
      <c r="D70" s="121"/>
      <c r="E70" s="121"/>
      <c r="F70" s="121"/>
      <c r="G70" s="121"/>
      <c r="H70" s="121"/>
      <c r="I70" s="121"/>
      <c r="J70" s="121"/>
      <c r="K70" s="121"/>
      <c r="L70" s="121"/>
      <c r="M70" s="121"/>
      <c r="N70" s="121"/>
      <c r="O70" s="121"/>
      <c r="P70" s="121"/>
      <c r="Q70" s="121"/>
    </row>
    <row r="71" ht="15.75" customHeight="1">
      <c r="A71" s="121"/>
      <c r="B71" s="121"/>
      <c r="C71" s="122"/>
      <c r="D71" s="121"/>
      <c r="E71" s="121"/>
      <c r="F71" s="121"/>
      <c r="G71" s="121"/>
      <c r="H71" s="121"/>
      <c r="I71" s="121"/>
      <c r="J71" s="121"/>
      <c r="K71" s="121"/>
      <c r="L71" s="121"/>
      <c r="M71" s="121"/>
      <c r="N71" s="121"/>
      <c r="O71" s="121"/>
      <c r="P71" s="121"/>
      <c r="Q71" s="121"/>
    </row>
    <row r="72" ht="15.75" customHeight="1">
      <c r="A72" s="121"/>
      <c r="B72" s="121"/>
      <c r="C72" s="122"/>
      <c r="D72" s="121"/>
      <c r="E72" s="121"/>
      <c r="F72" s="121"/>
      <c r="G72" s="121"/>
      <c r="H72" s="121"/>
      <c r="I72" s="121"/>
      <c r="J72" s="121"/>
      <c r="K72" s="121"/>
      <c r="L72" s="121"/>
      <c r="M72" s="121"/>
      <c r="N72" s="121"/>
      <c r="O72" s="121"/>
      <c r="P72" s="121"/>
      <c r="Q72" s="121"/>
    </row>
    <row r="73" ht="15.75" customHeight="1">
      <c r="A73" s="121"/>
      <c r="B73" s="121"/>
      <c r="C73" s="122"/>
      <c r="D73" s="121"/>
      <c r="E73" s="121"/>
      <c r="F73" s="121"/>
      <c r="G73" s="121"/>
      <c r="H73" s="121"/>
      <c r="I73" s="121"/>
      <c r="J73" s="121"/>
      <c r="K73" s="121"/>
      <c r="L73" s="121"/>
      <c r="M73" s="121"/>
      <c r="N73" s="121"/>
      <c r="O73" s="121"/>
      <c r="P73" s="121"/>
      <c r="Q73" s="121"/>
    </row>
    <row r="74" ht="15.75" customHeight="1">
      <c r="A74" s="121"/>
      <c r="B74" s="121"/>
      <c r="C74" s="122"/>
      <c r="D74" s="121"/>
      <c r="E74" s="121"/>
      <c r="F74" s="121"/>
      <c r="G74" s="121"/>
      <c r="H74" s="121"/>
      <c r="I74" s="121"/>
      <c r="J74" s="121"/>
      <c r="K74" s="121"/>
      <c r="L74" s="121"/>
      <c r="M74" s="121"/>
      <c r="N74" s="121"/>
      <c r="O74" s="121"/>
      <c r="P74" s="121"/>
      <c r="Q74" s="121"/>
    </row>
    <row r="75" ht="15.75" customHeight="1">
      <c r="A75" s="121"/>
      <c r="B75" s="121"/>
      <c r="C75" s="122"/>
      <c r="D75" s="121"/>
      <c r="E75" s="121"/>
      <c r="F75" s="121"/>
      <c r="G75" s="121"/>
      <c r="H75" s="121"/>
      <c r="I75" s="121"/>
      <c r="J75" s="121"/>
      <c r="K75" s="121"/>
      <c r="L75" s="121"/>
      <c r="M75" s="121"/>
      <c r="N75" s="121"/>
      <c r="O75" s="121"/>
      <c r="P75" s="121"/>
      <c r="Q75" s="121"/>
    </row>
    <row r="76" ht="15.75" customHeight="1">
      <c r="A76" s="121"/>
      <c r="B76" s="121"/>
      <c r="C76" s="122"/>
      <c r="D76" s="121"/>
      <c r="E76" s="121"/>
      <c r="F76" s="121"/>
      <c r="G76" s="121"/>
      <c r="H76" s="121"/>
      <c r="I76" s="121"/>
      <c r="J76" s="121"/>
      <c r="K76" s="121"/>
      <c r="L76" s="121"/>
      <c r="M76" s="121"/>
      <c r="N76" s="121"/>
      <c r="O76" s="121"/>
      <c r="P76" s="121"/>
      <c r="Q76" s="121"/>
    </row>
    <row r="77" ht="15.75" customHeight="1">
      <c r="A77" s="121"/>
      <c r="B77" s="121"/>
      <c r="C77" s="122"/>
      <c r="D77" s="121"/>
      <c r="E77" s="121"/>
      <c r="F77" s="121"/>
      <c r="G77" s="121"/>
      <c r="H77" s="121"/>
      <c r="I77" s="121"/>
      <c r="J77" s="121"/>
      <c r="K77" s="121"/>
      <c r="L77" s="121"/>
      <c r="M77" s="121"/>
      <c r="N77" s="121"/>
      <c r="O77" s="121"/>
      <c r="P77" s="121"/>
      <c r="Q77" s="121"/>
    </row>
    <row r="78" ht="15.75" customHeight="1">
      <c r="A78" s="121"/>
      <c r="B78" s="121"/>
      <c r="C78" s="122"/>
      <c r="D78" s="121"/>
      <c r="E78" s="121"/>
      <c r="F78" s="121"/>
      <c r="G78" s="121"/>
      <c r="H78" s="121"/>
      <c r="I78" s="121"/>
      <c r="J78" s="121"/>
      <c r="K78" s="121"/>
      <c r="L78" s="121"/>
      <c r="M78" s="121"/>
      <c r="N78" s="121"/>
      <c r="O78" s="121"/>
      <c r="P78" s="121"/>
      <c r="Q78" s="121"/>
    </row>
    <row r="79" ht="15.75" customHeight="1">
      <c r="A79" s="121"/>
      <c r="B79" s="121"/>
      <c r="C79" s="122"/>
      <c r="D79" s="121"/>
      <c r="E79" s="121"/>
      <c r="F79" s="121"/>
      <c r="G79" s="121"/>
      <c r="H79" s="121"/>
      <c r="I79" s="121"/>
      <c r="J79" s="121"/>
      <c r="K79" s="121"/>
      <c r="L79" s="121"/>
      <c r="M79" s="121"/>
      <c r="N79" s="121"/>
      <c r="O79" s="121"/>
      <c r="P79" s="121"/>
      <c r="Q79" s="121"/>
    </row>
    <row r="80" ht="15.75" customHeight="1">
      <c r="A80" s="121"/>
      <c r="B80" s="121"/>
      <c r="C80" s="122"/>
      <c r="D80" s="121"/>
      <c r="E80" s="121"/>
      <c r="F80" s="121"/>
      <c r="G80" s="121"/>
      <c r="H80" s="121"/>
      <c r="I80" s="121"/>
      <c r="J80" s="121"/>
      <c r="K80" s="121"/>
      <c r="L80" s="121"/>
      <c r="M80" s="121"/>
      <c r="N80" s="121"/>
      <c r="O80" s="121"/>
      <c r="P80" s="121"/>
      <c r="Q80" s="121"/>
    </row>
    <row r="81" ht="15.75" customHeight="1">
      <c r="A81" s="121"/>
      <c r="B81" s="121"/>
      <c r="C81" s="122"/>
      <c r="D81" s="121"/>
      <c r="E81" s="121"/>
      <c r="F81" s="121"/>
      <c r="G81" s="121"/>
      <c r="H81" s="121"/>
      <c r="I81" s="121"/>
      <c r="J81" s="121"/>
      <c r="K81" s="121"/>
      <c r="L81" s="121"/>
      <c r="M81" s="121"/>
      <c r="N81" s="121"/>
      <c r="O81" s="121"/>
      <c r="P81" s="121"/>
      <c r="Q81" s="121"/>
    </row>
    <row r="82" ht="15.75" customHeight="1">
      <c r="A82" s="121"/>
      <c r="B82" s="121"/>
      <c r="C82" s="122"/>
      <c r="D82" s="121"/>
      <c r="E82" s="121"/>
      <c r="F82" s="121"/>
      <c r="G82" s="121"/>
      <c r="H82" s="121"/>
      <c r="I82" s="121"/>
      <c r="J82" s="121"/>
      <c r="K82" s="121"/>
      <c r="L82" s="121"/>
      <c r="M82" s="121"/>
      <c r="N82" s="121"/>
      <c r="O82" s="121"/>
      <c r="P82" s="121"/>
      <c r="Q82" s="121"/>
    </row>
    <row r="83" ht="15.75" customHeight="1">
      <c r="A83" s="121"/>
      <c r="B83" s="121"/>
      <c r="C83" s="122"/>
      <c r="D83" s="121"/>
      <c r="E83" s="121"/>
      <c r="F83" s="121"/>
      <c r="G83" s="121"/>
      <c r="H83" s="121"/>
      <c r="I83" s="121"/>
      <c r="J83" s="121"/>
      <c r="K83" s="121"/>
      <c r="L83" s="121"/>
      <c r="M83" s="121"/>
      <c r="N83" s="121"/>
      <c r="O83" s="121"/>
      <c r="P83" s="121"/>
      <c r="Q83" s="121"/>
    </row>
    <row r="84" ht="15.75" customHeight="1">
      <c r="A84" s="121"/>
      <c r="B84" s="121"/>
      <c r="C84" s="122"/>
      <c r="D84" s="121"/>
      <c r="E84" s="121"/>
      <c r="F84" s="121"/>
      <c r="G84" s="121"/>
      <c r="H84" s="121"/>
      <c r="I84" s="121"/>
      <c r="J84" s="121"/>
      <c r="K84" s="121"/>
      <c r="L84" s="121"/>
      <c r="M84" s="121"/>
      <c r="N84" s="121"/>
      <c r="O84" s="121"/>
      <c r="P84" s="121"/>
      <c r="Q84" s="121"/>
    </row>
    <row r="85" ht="15.75" customHeight="1">
      <c r="A85" s="121"/>
      <c r="B85" s="121"/>
      <c r="C85" s="122"/>
      <c r="D85" s="121"/>
      <c r="E85" s="121"/>
      <c r="F85" s="121"/>
      <c r="G85" s="121"/>
      <c r="H85" s="121"/>
      <c r="I85" s="121"/>
      <c r="J85" s="121"/>
      <c r="K85" s="121"/>
      <c r="L85" s="121"/>
      <c r="M85" s="121"/>
      <c r="N85" s="121"/>
      <c r="O85" s="121"/>
      <c r="P85" s="121"/>
      <c r="Q85" s="121"/>
    </row>
    <row r="86" ht="15.75" customHeight="1">
      <c r="A86" s="121"/>
      <c r="B86" s="121"/>
      <c r="C86" s="122"/>
      <c r="D86" s="121"/>
      <c r="E86" s="121"/>
      <c r="F86" s="121"/>
      <c r="G86" s="121"/>
      <c r="H86" s="121"/>
      <c r="I86" s="121"/>
      <c r="J86" s="121"/>
      <c r="K86" s="121"/>
      <c r="L86" s="121"/>
      <c r="M86" s="121"/>
      <c r="N86" s="121"/>
      <c r="O86" s="121"/>
      <c r="P86" s="121"/>
      <c r="Q86" s="121"/>
    </row>
    <row r="87" ht="15.75" customHeight="1">
      <c r="A87" s="121"/>
      <c r="B87" s="121"/>
      <c r="C87" s="122"/>
      <c r="D87" s="121"/>
      <c r="E87" s="121"/>
      <c r="F87" s="121"/>
      <c r="G87" s="121"/>
      <c r="H87" s="121"/>
      <c r="I87" s="121"/>
      <c r="J87" s="121"/>
      <c r="K87" s="121"/>
      <c r="L87" s="121"/>
      <c r="M87" s="121"/>
      <c r="N87" s="121"/>
      <c r="O87" s="121"/>
      <c r="P87" s="121"/>
      <c r="Q87" s="121"/>
    </row>
    <row r="88" ht="15.75" customHeight="1">
      <c r="A88" s="121"/>
      <c r="B88" s="121"/>
      <c r="C88" s="122"/>
      <c r="D88" s="121"/>
      <c r="E88" s="121"/>
      <c r="F88" s="121"/>
      <c r="G88" s="121"/>
      <c r="H88" s="121"/>
      <c r="I88" s="121"/>
      <c r="J88" s="121"/>
      <c r="K88" s="121"/>
      <c r="L88" s="121"/>
      <c r="M88" s="121"/>
      <c r="N88" s="121"/>
      <c r="O88" s="121"/>
      <c r="P88" s="121"/>
      <c r="Q88" s="121"/>
    </row>
    <row r="89" ht="15.75" customHeight="1">
      <c r="A89" s="121"/>
      <c r="B89" s="121"/>
      <c r="C89" s="122"/>
      <c r="D89" s="121"/>
      <c r="E89" s="121"/>
      <c r="F89" s="121"/>
      <c r="G89" s="121"/>
      <c r="H89" s="121"/>
      <c r="I89" s="121"/>
      <c r="J89" s="121"/>
      <c r="K89" s="121"/>
      <c r="L89" s="121"/>
      <c r="M89" s="121"/>
      <c r="N89" s="121"/>
      <c r="O89" s="121"/>
      <c r="P89" s="121"/>
      <c r="Q89" s="121"/>
    </row>
    <row r="90" ht="15.75" customHeight="1">
      <c r="A90" s="121"/>
      <c r="B90" s="121"/>
      <c r="C90" s="122"/>
      <c r="D90" s="121"/>
      <c r="E90" s="121"/>
      <c r="F90" s="121"/>
      <c r="G90" s="121"/>
      <c r="H90" s="121"/>
      <c r="I90" s="121"/>
      <c r="J90" s="121"/>
      <c r="K90" s="121"/>
      <c r="L90" s="121"/>
      <c r="M90" s="121"/>
      <c r="N90" s="121"/>
      <c r="O90" s="121"/>
      <c r="P90" s="121"/>
      <c r="Q90" s="121"/>
    </row>
    <row r="91" ht="15.75" customHeight="1">
      <c r="A91" s="121"/>
      <c r="B91" s="121"/>
      <c r="C91" s="122"/>
      <c r="D91" s="121"/>
      <c r="E91" s="121"/>
      <c r="F91" s="121"/>
      <c r="G91" s="121"/>
      <c r="H91" s="121"/>
      <c r="I91" s="121"/>
      <c r="J91" s="121"/>
      <c r="K91" s="121"/>
      <c r="L91" s="121"/>
      <c r="M91" s="121"/>
      <c r="N91" s="121"/>
      <c r="O91" s="121"/>
      <c r="P91" s="121"/>
      <c r="Q91" s="121"/>
    </row>
    <row r="92" ht="15.75" customHeight="1">
      <c r="A92" s="121"/>
      <c r="B92" s="121"/>
      <c r="C92" s="122"/>
      <c r="D92" s="121"/>
      <c r="E92" s="121"/>
      <c r="F92" s="121"/>
      <c r="G92" s="121"/>
      <c r="H92" s="121"/>
      <c r="I92" s="121"/>
      <c r="J92" s="121"/>
      <c r="K92" s="121"/>
      <c r="L92" s="121"/>
      <c r="M92" s="121"/>
      <c r="N92" s="121"/>
      <c r="O92" s="121"/>
      <c r="P92" s="121"/>
      <c r="Q92" s="121"/>
    </row>
    <row r="93" ht="15.75" customHeight="1">
      <c r="A93" s="121"/>
      <c r="B93" s="121"/>
      <c r="C93" s="122"/>
      <c r="D93" s="121"/>
      <c r="E93" s="121"/>
      <c r="F93" s="121"/>
      <c r="G93" s="121"/>
      <c r="H93" s="121"/>
      <c r="I93" s="121"/>
      <c r="J93" s="121"/>
      <c r="K93" s="121"/>
      <c r="L93" s="121"/>
      <c r="M93" s="121"/>
      <c r="N93" s="121"/>
      <c r="O93" s="121"/>
      <c r="P93" s="121"/>
      <c r="Q93" s="121"/>
    </row>
    <row r="94" ht="15.75" customHeight="1">
      <c r="A94" s="121"/>
      <c r="B94" s="121"/>
      <c r="C94" s="122"/>
      <c r="D94" s="121"/>
      <c r="E94" s="121"/>
      <c r="F94" s="121"/>
      <c r="G94" s="121"/>
      <c r="H94" s="121"/>
      <c r="I94" s="121"/>
      <c r="J94" s="121"/>
      <c r="K94" s="121"/>
      <c r="L94" s="121"/>
      <c r="M94" s="121"/>
      <c r="N94" s="121"/>
      <c r="O94" s="121"/>
      <c r="P94" s="121"/>
      <c r="Q94" s="121"/>
    </row>
    <row r="95" ht="15.75" customHeight="1">
      <c r="A95" s="121"/>
      <c r="B95" s="121"/>
      <c r="C95" s="122"/>
      <c r="D95" s="121"/>
      <c r="E95" s="121"/>
      <c r="F95" s="121"/>
      <c r="G95" s="121"/>
      <c r="H95" s="121"/>
      <c r="I95" s="121"/>
      <c r="J95" s="121"/>
      <c r="K95" s="121"/>
      <c r="L95" s="121"/>
      <c r="M95" s="121"/>
      <c r="N95" s="121"/>
      <c r="O95" s="121"/>
      <c r="P95" s="121"/>
      <c r="Q95" s="121"/>
    </row>
    <row r="96" ht="15.75" customHeight="1">
      <c r="A96" s="121"/>
      <c r="B96" s="121"/>
      <c r="C96" s="122"/>
      <c r="D96" s="121"/>
      <c r="E96" s="121"/>
      <c r="F96" s="121"/>
      <c r="G96" s="121"/>
      <c r="H96" s="121"/>
      <c r="I96" s="121"/>
      <c r="J96" s="121"/>
      <c r="K96" s="121"/>
      <c r="L96" s="121"/>
      <c r="M96" s="121"/>
      <c r="N96" s="121"/>
      <c r="O96" s="121"/>
      <c r="P96" s="121"/>
      <c r="Q96" s="121"/>
    </row>
    <row r="97" ht="15.75" customHeight="1">
      <c r="A97" s="121"/>
      <c r="B97" s="121"/>
      <c r="C97" s="122"/>
      <c r="D97" s="121"/>
      <c r="E97" s="121"/>
      <c r="F97" s="121"/>
      <c r="G97" s="121"/>
      <c r="H97" s="121"/>
      <c r="I97" s="121"/>
      <c r="J97" s="121"/>
      <c r="K97" s="121"/>
      <c r="L97" s="121"/>
      <c r="M97" s="121"/>
      <c r="N97" s="121"/>
      <c r="O97" s="121"/>
      <c r="P97" s="121"/>
      <c r="Q97" s="121"/>
    </row>
    <row r="98" ht="15.75" customHeight="1">
      <c r="A98" s="121"/>
      <c r="B98" s="121"/>
      <c r="C98" s="122"/>
      <c r="D98" s="121"/>
      <c r="E98" s="121"/>
      <c r="F98" s="121"/>
      <c r="G98" s="121"/>
      <c r="H98" s="121"/>
      <c r="I98" s="121"/>
      <c r="J98" s="121"/>
      <c r="K98" s="121"/>
      <c r="L98" s="121"/>
      <c r="M98" s="121"/>
      <c r="N98" s="121"/>
      <c r="O98" s="121"/>
      <c r="P98" s="121"/>
      <c r="Q98" s="121"/>
    </row>
    <row r="99" ht="15.75" customHeight="1">
      <c r="A99" s="121"/>
      <c r="B99" s="121"/>
      <c r="C99" s="122"/>
      <c r="D99" s="121"/>
      <c r="E99" s="121"/>
      <c r="F99" s="121"/>
      <c r="G99" s="121"/>
      <c r="H99" s="121"/>
      <c r="I99" s="121"/>
      <c r="J99" s="121"/>
      <c r="K99" s="121"/>
      <c r="L99" s="121"/>
      <c r="M99" s="121"/>
      <c r="N99" s="121"/>
      <c r="O99" s="121"/>
      <c r="P99" s="121"/>
      <c r="Q99" s="121"/>
    </row>
    <row r="100" ht="15.75" customHeight="1">
      <c r="A100" s="121"/>
      <c r="B100" s="121"/>
      <c r="C100" s="122"/>
      <c r="D100" s="121"/>
      <c r="E100" s="121"/>
      <c r="F100" s="121"/>
      <c r="G100" s="121"/>
      <c r="H100" s="121"/>
      <c r="I100" s="121"/>
      <c r="J100" s="121"/>
      <c r="K100" s="121"/>
      <c r="L100" s="121"/>
      <c r="M100" s="121"/>
      <c r="N100" s="121"/>
      <c r="O100" s="121"/>
      <c r="P100" s="121"/>
      <c r="Q100" s="121"/>
    </row>
  </sheetData>
  <mergeCells count="15">
    <mergeCell ref="C48:G48"/>
    <mergeCell ref="C49:G49"/>
    <mergeCell ref="C50:G50"/>
    <mergeCell ref="C51:G51"/>
    <mergeCell ref="C52:G52"/>
    <mergeCell ref="C45:G45"/>
    <mergeCell ref="C46:G46"/>
    <mergeCell ref="C47:G47"/>
    <mergeCell ref="C3:G3"/>
    <mergeCell ref="C8:D8"/>
    <mergeCell ref="C26:G26"/>
    <mergeCell ref="D6:G6"/>
    <mergeCell ref="C17:F17"/>
    <mergeCell ref="C35:F35"/>
    <mergeCell ref="C39:E39"/>
  </mergeCells>
  <printOptions/>
  <pageMargins bottom="0.75" footer="0.0" header="0.0" left="0.7" right="0.7" top="0.75"/>
  <pageSetup scale="42"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6.78"/>
    <col customWidth="1" min="2" max="2" width="8.22"/>
    <col customWidth="1" min="3" max="9" width="7.78"/>
    <col customWidth="1" min="10" max="14" width="9.0"/>
    <col customWidth="1" min="15" max="15" width="6.78"/>
  </cols>
  <sheetData>
    <row r="3">
      <c r="C3" s="175" t="str">
        <f>'Module 1'!C5</f>
        <v>2022</v>
      </c>
      <c r="D3" s="175" t="str">
        <f>'Module 1'!D5</f>
        <v>2023</v>
      </c>
      <c r="E3" s="175" t="str">
        <f>'Module 1'!E5</f>
        <v>2024</v>
      </c>
      <c r="F3" s="175" t="str">
        <f>'Module 1'!F5</f>
        <v>2025</v>
      </c>
      <c r="G3" s="175" t="str">
        <f>'Module 1'!G5</f>
        <v>2026</v>
      </c>
      <c r="H3" s="175" t="str">
        <f>'Module 1'!H5</f>
        <v>2027</v>
      </c>
      <c r="I3" s="175" t="str">
        <f>'Module 1'!I5</f>
        <v>2028</v>
      </c>
      <c r="J3" s="175" t="str">
        <f>'Module 1'!J5</f>
        <v>2029</v>
      </c>
      <c r="K3" s="175" t="str">
        <f>'Module 1'!K5</f>
        <v>2030</v>
      </c>
      <c r="L3" s="175" t="str">
        <f>'Module 1'!L5</f>
        <v>2031</v>
      </c>
      <c r="M3" s="175" t="str">
        <f>'Module 1'!M5</f>
        <v>2032</v>
      </c>
      <c r="N3" s="175" t="str">
        <f>'Module 1'!N5</f>
        <v>2033</v>
      </c>
    </row>
    <row r="4">
      <c r="B4" t="s">
        <v>186</v>
      </c>
      <c r="C4" s="68" t="str">
        <f>'Module 1'!C9</f>
        <v> $ 400,000 </v>
      </c>
      <c r="D4" s="68" t="str">
        <f>'Module 1'!D9-'Module 1'!D7</f>
        <v> $ 420,000 </v>
      </c>
      <c r="E4" s="68" t="str">
        <f>'Module 1'!E9-'Module 1'!E7</f>
        <v> $ 492,758 </v>
      </c>
      <c r="F4" s="68" t="str">
        <f>'Module 1'!F9-'Module 1'!F7</f>
        <v> $ 598,380 </v>
      </c>
      <c r="G4" s="68" t="str">
        <f>'Module 1'!G9-'Module 1'!G7</f>
        <v> $ 712,192 </v>
      </c>
      <c r="H4" s="68" t="str">
        <f>'Module 1'!H9-'Module 1'!H7</f>
        <v> $ 839,562 </v>
      </c>
      <c r="I4" s="68" t="str">
        <f>'Module 1'!I9-'Module 1'!I7</f>
        <v> $ 977,968 </v>
      </c>
      <c r="J4" s="68" t="str">
        <f>'Module 1'!J9-'Module 1'!J7</f>
        <v> $ 1,128,180 </v>
      </c>
      <c r="K4" s="68" t="str">
        <f>'Module 1'!K9-'Module 1'!K7</f>
        <v> $ 1,344,351 </v>
      </c>
      <c r="L4" s="68" t="str">
        <f>'Module 1'!L9-'Module 1'!L7</f>
        <v> $ 1,575,076 </v>
      </c>
      <c r="M4" s="68" t="str">
        <f>'Module 1'!M9-'Module 1'!M7</f>
        <v> $ 1,821,152 </v>
      </c>
      <c r="N4" s="68" t="str">
        <f>'Module 1'!N9-'Module 1'!N7</f>
        <v> $ 2,083,422 </v>
      </c>
    </row>
    <row r="5">
      <c r="B5" t="s">
        <v>92</v>
      </c>
      <c r="C5" s="68"/>
      <c r="D5" s="68" t="str">
        <f>'Module 1'!D7</f>
        <v> $ 49,294 </v>
      </c>
      <c r="E5" s="68" t="str">
        <f>'Module 1'!E7</f>
        <v> $ 77,127 </v>
      </c>
      <c r="F5" s="68" t="str">
        <f>'Module 1'!F7</f>
        <v> $ 79,898 </v>
      </c>
      <c r="G5" s="68" t="str">
        <f>'Module 1'!G7</f>
        <v> $ 87,390 </v>
      </c>
      <c r="H5" s="68" t="str">
        <f>'Module 1'!H7</f>
        <v> $ 91,836 </v>
      </c>
      <c r="I5" s="68" t="str">
        <f>'Module 1'!I7</f>
        <v> $ 96,489 </v>
      </c>
      <c r="J5" s="68" t="str">
        <f>'Module 1'!J7</f>
        <v> $ 152,155 </v>
      </c>
      <c r="K5" s="68" t="str">
        <f>'Module 1'!K7</f>
        <v> $ 155,721 </v>
      </c>
      <c r="L5" s="68" t="str">
        <f>'Module 1'!L7</f>
        <v> $ 159,355 </v>
      </c>
      <c r="M5" s="68" t="str">
        <f>'Module 1'!M7</f>
        <v> $ 163,059 </v>
      </c>
      <c r="N5" s="68" t="str">
        <f>'Module 1'!N7</f>
        <v> $ 166,835 </v>
      </c>
    </row>
    <row r="6">
      <c r="D6" s="176" t="str">
        <f>'Module 1'!D10</f>
        <v>$1,877</v>
      </c>
      <c r="E6" s="176" t="str">
        <f>'Module 1'!E10</f>
        <v>$1,995</v>
      </c>
      <c r="F6" s="176" t="str">
        <f>'Module 1'!F10</f>
        <v>$2,374</v>
      </c>
      <c r="G6" s="176" t="str">
        <f>'Module 1'!G10</f>
        <v>$2,799</v>
      </c>
      <c r="H6" s="176" t="str">
        <f>'Module 1'!H10</f>
        <v>$3,260</v>
      </c>
      <c r="I6" s="176" t="str">
        <f>'Module 1'!I10</f>
        <v>$3,761</v>
      </c>
      <c r="J6" s="176" t="str">
        <f>'Module 1'!J10</f>
        <v>$3,841</v>
      </c>
      <c r="K6" s="176" t="str">
        <f>'Module 1'!K10</f>
        <v>$4,500</v>
      </c>
      <c r="L6" s="176" t="str">
        <f>'Module 1'!L10</f>
        <v>$5,203</v>
      </c>
      <c r="M6" s="176" t="str">
        <f>'Module 1'!M10</f>
        <v>$5,953</v>
      </c>
      <c r="N6" s="176" t="str">
        <f>'Module 1'!N10</f>
        <v>$6,751</v>
      </c>
    </row>
    <row r="8">
      <c r="C8" s="176" t="str">
        <f t="shared" ref="C8:N8" si="1">SUM(C4:C5)</f>
        <v>$400,000</v>
      </c>
      <c r="D8" s="176" t="str">
        <f t="shared" si="1"/>
        <v>$469,294</v>
      </c>
      <c r="E8" s="176" t="str">
        <f t="shared" si="1"/>
        <v>$569,886</v>
      </c>
      <c r="F8" s="176" t="str">
        <f t="shared" si="1"/>
        <v>$678,278</v>
      </c>
      <c r="G8" s="176" t="str">
        <f t="shared" si="1"/>
        <v>$799,582</v>
      </c>
      <c r="H8" s="176" t="str">
        <f t="shared" si="1"/>
        <v>$931,398</v>
      </c>
      <c r="I8" s="176" t="str">
        <f t="shared" si="1"/>
        <v>$1,074,457</v>
      </c>
      <c r="J8" s="176" t="str">
        <f t="shared" si="1"/>
        <v>$1,280,335</v>
      </c>
      <c r="K8" s="176" t="str">
        <f t="shared" si="1"/>
        <v>$1,500,072</v>
      </c>
      <c r="L8" s="176" t="str">
        <f t="shared" si="1"/>
        <v>$1,734,430</v>
      </c>
      <c r="M8" s="176" t="str">
        <f t="shared" si="1"/>
        <v>$1,984,211</v>
      </c>
      <c r="N8" s="176" t="str">
        <f t="shared" si="1"/>
        <v>$2,250,257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8" width="6.78"/>
    <col customWidth="1" min="9" max="9" width="7.56"/>
    <col customWidth="1" min="10" max="13" width="6.78"/>
  </cols>
  <sheetData>
    <row r="2">
      <c r="C2" s="175" t="s">
        <v>145</v>
      </c>
      <c r="E2" s="175" t="s">
        <v>187</v>
      </c>
      <c r="G2" t="s">
        <v>146</v>
      </c>
      <c r="I2" t="s">
        <v>188</v>
      </c>
      <c r="K2" s="175" t="s">
        <v>189</v>
      </c>
      <c r="M2" s="175" t="s">
        <v>190</v>
      </c>
    </row>
    <row r="3">
      <c r="C3" s="86">
        <v>0.02</v>
      </c>
      <c r="E3" s="84">
        <v>1.0</v>
      </c>
      <c r="G3" s="86">
        <v>0.0</v>
      </c>
      <c r="I3" s="103">
        <v>-400.0</v>
      </c>
      <c r="K3" s="86">
        <v>0.0</v>
      </c>
      <c r="M3" s="86">
        <v>0.0</v>
      </c>
    </row>
    <row r="4">
      <c r="C4" s="86" t="str">
        <f t="shared" ref="C4:C13" si="1">C3+0.1%</f>
        <v>2.1%</v>
      </c>
      <c r="E4" s="84" t="str">
        <f t="shared" ref="E4:E23" si="2">E3-5%</f>
        <v>95%</v>
      </c>
      <c r="G4" s="86" t="str">
        <f t="shared" ref="G4:G25" si="3">G3+0.5%</f>
        <v>0.5%</v>
      </c>
      <c r="I4" s="103" t="str">
        <f t="shared" ref="I4:I19" si="4">I3+25</f>
        <v>($375)</v>
      </c>
      <c r="K4" s="86">
        <v>0.005</v>
      </c>
      <c r="M4" s="86">
        <v>0.01</v>
      </c>
    </row>
    <row r="5">
      <c r="C5" s="86" t="str">
        <f t="shared" si="1"/>
        <v>2.2%</v>
      </c>
      <c r="E5" s="84" t="str">
        <f t="shared" si="2"/>
        <v>90%</v>
      </c>
      <c r="G5" s="86" t="str">
        <f t="shared" si="3"/>
        <v>1.0%</v>
      </c>
      <c r="I5" s="103" t="str">
        <f t="shared" si="4"/>
        <v>($350)</v>
      </c>
      <c r="K5" s="86">
        <v>0.01</v>
      </c>
      <c r="M5" s="86">
        <v>0.02</v>
      </c>
    </row>
    <row r="6">
      <c r="C6" s="86" t="str">
        <f t="shared" si="1"/>
        <v>2.3%</v>
      </c>
      <c r="E6" s="84" t="str">
        <f t="shared" si="2"/>
        <v>85%</v>
      </c>
      <c r="G6" s="86" t="str">
        <f t="shared" si="3"/>
        <v>1.5%</v>
      </c>
      <c r="I6" s="103" t="str">
        <f t="shared" si="4"/>
        <v>($325)</v>
      </c>
      <c r="K6" s="86">
        <v>0.015</v>
      </c>
      <c r="M6" s="86">
        <v>0.03</v>
      </c>
    </row>
    <row r="7">
      <c r="C7" s="86" t="str">
        <f t="shared" si="1"/>
        <v>2.4%</v>
      </c>
      <c r="E7" s="84" t="str">
        <f t="shared" si="2"/>
        <v>80%</v>
      </c>
      <c r="G7" s="86" t="str">
        <f t="shared" si="3"/>
        <v>2.0%</v>
      </c>
      <c r="I7" s="103" t="str">
        <f t="shared" si="4"/>
        <v>($300)</v>
      </c>
      <c r="K7" s="86">
        <v>0.02</v>
      </c>
      <c r="M7" s="86">
        <v>0.04</v>
      </c>
    </row>
    <row r="8">
      <c r="C8" s="86" t="str">
        <f t="shared" si="1"/>
        <v>2.5%</v>
      </c>
      <c r="E8" s="84" t="str">
        <f t="shared" si="2"/>
        <v>75%</v>
      </c>
      <c r="G8" s="86" t="str">
        <f t="shared" si="3"/>
        <v>2.5%</v>
      </c>
      <c r="I8" s="103" t="str">
        <f t="shared" si="4"/>
        <v>($275)</v>
      </c>
      <c r="K8" s="86">
        <v>0.025</v>
      </c>
      <c r="M8" s="86">
        <v>0.05</v>
      </c>
    </row>
    <row r="9">
      <c r="C9" s="86" t="str">
        <f t="shared" si="1"/>
        <v>2.6%</v>
      </c>
      <c r="E9" s="84" t="str">
        <f t="shared" si="2"/>
        <v>70%</v>
      </c>
      <c r="G9" s="86" t="str">
        <f t="shared" si="3"/>
        <v>3.0%</v>
      </c>
      <c r="I9" s="103" t="str">
        <f t="shared" si="4"/>
        <v>($250)</v>
      </c>
      <c r="K9" s="86">
        <v>0.03</v>
      </c>
      <c r="M9" s="86">
        <v>0.06</v>
      </c>
    </row>
    <row r="10">
      <c r="C10" s="86" t="str">
        <f t="shared" si="1"/>
        <v>2.7%</v>
      </c>
      <c r="E10" s="84" t="str">
        <f t="shared" si="2"/>
        <v>65%</v>
      </c>
      <c r="G10" s="86" t="str">
        <f t="shared" si="3"/>
        <v>3.5%</v>
      </c>
      <c r="I10" s="103" t="str">
        <f t="shared" si="4"/>
        <v>($225)</v>
      </c>
      <c r="M10" s="86">
        <v>0.07</v>
      </c>
    </row>
    <row r="11">
      <c r="C11" s="86" t="str">
        <f t="shared" si="1"/>
        <v>2.8%</v>
      </c>
      <c r="E11" s="84" t="str">
        <f t="shared" si="2"/>
        <v>60%</v>
      </c>
      <c r="G11" s="86" t="str">
        <f t="shared" si="3"/>
        <v>4.0%</v>
      </c>
      <c r="I11" s="103" t="str">
        <f t="shared" si="4"/>
        <v>($200)</v>
      </c>
      <c r="M11" s="86">
        <v>0.08</v>
      </c>
    </row>
    <row r="12">
      <c r="C12" s="86" t="str">
        <f t="shared" si="1"/>
        <v>2.9%</v>
      </c>
      <c r="E12" s="84" t="str">
        <f t="shared" si="2"/>
        <v>55%</v>
      </c>
      <c r="G12" s="86" t="str">
        <f t="shared" si="3"/>
        <v>4.5%</v>
      </c>
      <c r="I12" s="103" t="str">
        <f t="shared" si="4"/>
        <v>($175)</v>
      </c>
      <c r="M12" s="86">
        <v>0.09</v>
      </c>
    </row>
    <row r="13">
      <c r="C13" s="86" t="str">
        <f t="shared" si="1"/>
        <v>3.0%</v>
      </c>
      <c r="E13" s="84" t="str">
        <f t="shared" si="2"/>
        <v>50%</v>
      </c>
      <c r="G13" s="86" t="str">
        <f t="shared" si="3"/>
        <v>5.0%</v>
      </c>
      <c r="I13" s="103" t="str">
        <f t="shared" si="4"/>
        <v>($150)</v>
      </c>
      <c r="M13" s="86">
        <v>0.1</v>
      </c>
    </row>
    <row r="14">
      <c r="C14" s="86"/>
      <c r="E14" s="84" t="str">
        <f t="shared" si="2"/>
        <v>45%</v>
      </c>
      <c r="G14" s="86" t="str">
        <f t="shared" si="3"/>
        <v>5.5%</v>
      </c>
      <c r="I14" s="103" t="str">
        <f t="shared" si="4"/>
        <v>($125)</v>
      </c>
    </row>
    <row r="15">
      <c r="E15" s="84" t="str">
        <f t="shared" si="2"/>
        <v>40%</v>
      </c>
      <c r="G15" s="86" t="str">
        <f t="shared" si="3"/>
        <v>6.0%</v>
      </c>
      <c r="I15" s="103" t="str">
        <f t="shared" si="4"/>
        <v>($100)</v>
      </c>
    </row>
    <row r="16">
      <c r="E16" s="84" t="str">
        <f t="shared" si="2"/>
        <v>35%</v>
      </c>
      <c r="G16" s="86" t="str">
        <f t="shared" si="3"/>
        <v>6.5%</v>
      </c>
      <c r="I16" s="103" t="str">
        <f t="shared" si="4"/>
        <v>($75)</v>
      </c>
    </row>
    <row r="17">
      <c r="E17" s="84" t="str">
        <f t="shared" si="2"/>
        <v>30%</v>
      </c>
      <c r="G17" s="86" t="str">
        <f t="shared" si="3"/>
        <v>7.0%</v>
      </c>
      <c r="I17" s="103" t="str">
        <f t="shared" si="4"/>
        <v>($50)</v>
      </c>
    </row>
    <row r="18">
      <c r="E18" s="84" t="str">
        <f t="shared" si="2"/>
        <v>25%</v>
      </c>
      <c r="G18" s="86" t="str">
        <f t="shared" si="3"/>
        <v>7.5%</v>
      </c>
      <c r="I18" s="103" t="str">
        <f t="shared" si="4"/>
        <v>($25)</v>
      </c>
    </row>
    <row r="19">
      <c r="E19" s="84" t="str">
        <f t="shared" si="2"/>
        <v>20%</v>
      </c>
      <c r="G19" s="86" t="str">
        <f t="shared" si="3"/>
        <v>8.0%</v>
      </c>
      <c r="I19" s="103" t="str">
        <f t="shared" si="4"/>
        <v>$0 </v>
      </c>
    </row>
    <row r="20">
      <c r="E20" s="84" t="str">
        <f t="shared" si="2"/>
        <v>15%</v>
      </c>
      <c r="G20" s="86" t="str">
        <f t="shared" si="3"/>
        <v>8.5%</v>
      </c>
    </row>
    <row r="21" ht="15.75" customHeight="1">
      <c r="E21" s="84" t="str">
        <f t="shared" si="2"/>
        <v>10%</v>
      </c>
      <c r="G21" s="86" t="str">
        <f t="shared" si="3"/>
        <v>9.0%</v>
      </c>
    </row>
    <row r="22" ht="15.75" customHeight="1">
      <c r="E22" s="84" t="str">
        <f t="shared" si="2"/>
        <v>5%</v>
      </c>
      <c r="G22" s="86" t="str">
        <f t="shared" si="3"/>
        <v>9.5%</v>
      </c>
    </row>
    <row r="23" ht="15.75" customHeight="1">
      <c r="E23" s="84" t="str">
        <f t="shared" si="2"/>
        <v>0%</v>
      </c>
      <c r="G23" s="86" t="str">
        <f t="shared" si="3"/>
        <v>10.0%</v>
      </c>
    </row>
    <row r="24" ht="15.75" customHeight="1">
      <c r="E24" s="84"/>
      <c r="G24" s="86" t="str">
        <f t="shared" si="3"/>
        <v>10.5%</v>
      </c>
    </row>
    <row r="25" ht="15.75" customHeight="1">
      <c r="E25" s="84"/>
      <c r="G25" s="86" t="str">
        <f t="shared" si="3"/>
        <v>11.0%</v>
      </c>
    </row>
    <row r="26" ht="15.75" customHeight="1">
      <c r="E26" s="84"/>
    </row>
    <row r="27" ht="15.75" customHeight="1">
      <c r="E27" s="8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Manager/>
  <Company>TIAA</Company>
  <ScaleCrop>false</ScaleCrop>
  <HeadingPairs>
    <vt:vector baseType="variant" size="4">
      <vt:variant>
        <vt:lpstr>Worksheets</vt:lpstr>
      </vt:variant>
      <vt:variant>
        <vt:i4>7</vt:i4>
      </vt:variant>
      <vt:variant>
        <vt:lpstr>Named Ranges</vt:lpstr>
      </vt:variant>
      <vt:variant>
        <vt:i4>1</vt:i4>
      </vt:variant>
    </vt:vector>
  </HeadingPairs>
  <TitlesOfParts>
    <vt:vector baseType="lpstr" size="8">
      <vt:lpstr>Overview</vt:lpstr>
      <vt:lpstr>Case Study Answers</vt:lpstr>
      <vt:lpstr>Module 1</vt:lpstr>
      <vt:lpstr>Module 2</vt:lpstr>
      <vt:lpstr>Assumptions</vt:lpstr>
      <vt:lpstr>Chart</vt:lpstr>
      <vt:lpstr>Dropdowns</vt:lpstr>
      <vt:lpstr>Assumptions!Print_Area</vt:lpstr>
    </vt:vector>
  </TitlesOfParts>
  <LinksUpToDate>false</LinksUpToDate>
  <SharedDoc>false</SharedDoc>
  <HyperlinkBase/>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2021-08-25T15:11:25Z</dcterms:created>
  <dc:creator/>
  <dc:description/>
  <cp:keywords/>
  <cp:lastModifiedBy>Uyi U</cp:lastModifiedBy>
  <dcterms:modified xsi:type="dcterms:W3CDTF">2024-12-09T00:10:16Z</dcterms:modified>
  <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{7483FFFE-F888-4B9A-93CD-68E1A275742B}</vt:lpwstr>
  </property>
  <property fmtid="{D5CDD505-2E9C-101B-9397-08002B2CF9AE}" pid="3" name="ContentTypeId">
    <vt:lpwstr>0x0101007FC6898FD78210478DABB65458A24267</vt:lpwstr>
  </property>
  <property fmtid="{D5CDD505-2E9C-101B-9397-08002B2CF9AE}" pid="4" name="MSIP_Label_923fbcac-c1a0-42ae-9212-22391b0bb07a_Enabled">
    <vt:lpwstr>true</vt:lpwstr>
  </property>
  <property fmtid="{D5CDD505-2E9C-101B-9397-08002B2CF9AE}" pid="5" name="MSIP_Label_923fbcac-c1a0-42ae-9212-22391b0bb07a_SetDate">
    <vt:lpwstr>2024-01-02T21:06:55Z</vt:lpwstr>
  </property>
  <property fmtid="{D5CDD505-2E9C-101B-9397-08002B2CF9AE}" pid="6" name="MSIP_Label_923fbcac-c1a0-42ae-9212-22391b0bb07a_Method">
    <vt:lpwstr>Privileged</vt:lpwstr>
  </property>
  <property fmtid="{D5CDD505-2E9C-101B-9397-08002B2CF9AE}" pid="7" name="MSIP_Label_923fbcac-c1a0-42ae-9212-22391b0bb07a_Name">
    <vt:lpwstr>TIAA-Sensitivity-Public-Standard</vt:lpwstr>
  </property>
  <property fmtid="{D5CDD505-2E9C-101B-9397-08002B2CF9AE}" pid="8" name="MSIP_Label_923fbcac-c1a0-42ae-9212-22391b0bb07a_SiteId">
    <vt:lpwstr>67080e55-9c90-409b-9421-7fab7df8331b</vt:lpwstr>
  </property>
  <property fmtid="{D5CDD505-2E9C-101B-9397-08002B2CF9AE}" pid="9" name="MSIP_Label_923fbcac-c1a0-42ae-9212-22391b0bb07a_ActionId">
    <vt:lpwstr>77368b0f-dd4c-459e-a3d1-c269994f215e</vt:lpwstr>
  </property>
  <property fmtid="{D5CDD505-2E9C-101B-9397-08002B2CF9AE}" pid="10" name="MSIP_Label_923fbcac-c1a0-42ae-9212-22391b0bb07a_ContentBits">
    <vt:lpwstr>0</vt:lpwstr>
  </property>
</Properties>
</file>